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olidado" sheetId="1" r:id="rId1"/>
    <sheet name="Directivo 1" sheetId="2" r:id="rId2"/>
    <sheet name="Directivo 2" sheetId="3" r:id="rId3"/>
    <sheet name="Directivo 3" sheetId="4" r:id="rId4"/>
    <sheet name="Directivo 4" sheetId="5" r:id="rId5"/>
    <sheet name="Directivo 5" sheetId="6" r:id="rId6"/>
    <sheet name="Instrucciones" sheetId="7" r:id="rId7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63D2B"/>
      </patternFill>
    </fill>
    <fill>
      <patternFill patternType="solid">
        <fgColor rgb="FFEAF7F0"/>
      </patternFill>
    </fill>
  </fills>
  <borders count="2">
    <border/>
    <border>
      <left style="thin">
        <color rgb="FFD7E6DF"/>
      </left>
      <right style="thin">
        <color rgb="FFD7E6DF"/>
      </right>
      <top style="thin">
        <color rgb="FFD7E6DF"/>
      </top>
      <bottom style="thin">
        <color rgb="FFD7E6DF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2" fontId="0" fillId="3" borderId="1" xfId="0" applyFill="1" applyBorder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3"/>
  <sheetViews>
    <sheetView workbookViewId="0">
      <pane ySplit="1" topLeftCell="A2" activePane="bottomLeft" state="frozen"/>
    </sheetView>
  </sheetViews>
  <cols>
    <col min="1" max="1" width="24" customWidth="1"/>
    <col min="2" max="2" width="13" customWidth="1"/>
    <col min="3" max="3" width="12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2" customWidth="1"/>
    <col min="10" max="10" width="12" customWidth="1"/>
    <col min="11" max="11" width="10" customWidth="1"/>
    <col min="12" max="12" width="40" customWidth="1"/>
  </cols>
  <sheetData>
    <row r="1">
      <c r="A1" t="inlineStr" s="1">
        <is>
          <t>Nombre jugador</t>
        </is>
      </c>
      <c r="B1" t="inlineStr" s="1">
        <is>
          <t>Posiciones</t>
        </is>
      </c>
      <c r="C1" t="inlineStr" s="1">
        <is>
          <t>Ritmo base</t>
        </is>
      </c>
      <c r="D1" t="inlineStr" s="1">
        <is>
          <t>Ataque</t>
        </is>
      </c>
      <c r="E1" t="inlineStr" s="1">
        <is>
          <t>Solidez</t>
        </is>
      </c>
      <c r="F1" t="inlineStr" s="1">
        <is>
          <t>Tecnica</t>
        </is>
      </c>
      <c r="G1" t="inlineStr" s="1">
        <is>
          <t>Ritmo</t>
        </is>
      </c>
      <c r="H1" t="inlineStr" s="1">
        <is>
          <t>Equipo</t>
        </is>
      </c>
      <c r="I1" t="inlineStr" s="1">
        <is>
          <t>Mentalidad</t>
        </is>
      </c>
      <c r="J1" t="inlineStr" s="1">
        <is>
          <t>Regularidad</t>
        </is>
      </c>
      <c r="K1" t="inlineStr" s="1">
        <is>
          <t>Arquero</t>
        </is>
      </c>
      <c r="L1" t="inlineStr" s="1">
        <is>
          <t>Comentarios</t>
        </is>
      </c>
    </row>
    <row r="2">
      <c r="A2" t="inlineStr">
        <is>
          <t>ALE CUERVO</t>
        </is>
      </c>
      <c r="B2" t="inlineStr">
        <is>
          <t>LAT/MED</t>
        </is>
      </c>
      <c r="C2" t="inlineStr">
        <is>
          <t>lento</t>
        </is>
      </c>
      <c r="D2" s="2">
        <f>IFERROR(AVERAGE('Directivo 1'!D2,'Directivo 2'!D2,'Directivo 3'!D2,'Directivo 4'!D2,'Directivo 5'!D2),"")</f>
      </c>
      <c r="E2" s="2">
        <f>IFERROR(AVERAGE('Directivo 1'!E2,'Directivo 2'!E2,'Directivo 3'!E2,'Directivo 4'!E2,'Directivo 5'!E2),"")</f>
      </c>
      <c r="F2" s="2">
        <f>IFERROR(AVERAGE('Directivo 1'!F2,'Directivo 2'!F2,'Directivo 3'!F2,'Directivo 4'!F2,'Directivo 5'!F2),"")</f>
      </c>
      <c r="G2" s="2">
        <f>IFERROR(AVERAGE('Directivo 1'!G2,'Directivo 2'!G2,'Directivo 3'!G2,'Directivo 4'!G2,'Directivo 5'!G2),"")</f>
      </c>
      <c r="H2" s="2">
        <f>IFERROR(AVERAGE('Directivo 1'!H2,'Directivo 2'!H2,'Directivo 3'!H2,'Directivo 4'!H2,'Directivo 5'!H2),"")</f>
      </c>
      <c r="I2" s="2">
        <f>IFERROR(AVERAGE('Directivo 1'!I2,'Directivo 2'!I2,'Directivo 3'!I2,'Directivo 4'!I2,'Directivo 5'!I2),"")</f>
      </c>
      <c r="J2" s="2">
        <f>IFERROR(AVERAGE('Directivo 1'!J2,'Directivo 2'!J2,'Directivo 3'!J2,'Directivo 4'!J2,'Directivo 5'!J2),"")</f>
      </c>
      <c r="K2" s="2">
        <f>IFERROR(AVERAGE('Directivo 1'!K2,'Directivo 2'!K2,'Directivo 3'!K2,'Directivo 4'!K2,'Directivo 5'!K2),"")</f>
      </c>
      <c r="L2">
        <f>TEXTJOIN(" | ",TRUE,'Directivo 1'!L2,'Directivo 2'!L2,'Directivo 3'!L2,'Directivo 4'!L2,'Directivo 5'!L2)</f>
      </c>
    </row>
    <row r="3">
      <c r="A3" t="inlineStr">
        <is>
          <t>ALEXIS</t>
        </is>
      </c>
      <c r="B3" t="inlineStr">
        <is>
          <t>LAT/MED</t>
        </is>
      </c>
      <c r="C3" t="inlineStr">
        <is>
          <t>rapido</t>
        </is>
      </c>
      <c r="D3" s="2">
        <f>IFERROR(AVERAGE('Directivo 1'!D3,'Directivo 2'!D3,'Directivo 3'!D3,'Directivo 4'!D3,'Directivo 5'!D3),"")</f>
      </c>
      <c r="E3" s="2">
        <f>IFERROR(AVERAGE('Directivo 1'!E3,'Directivo 2'!E3,'Directivo 3'!E3,'Directivo 4'!E3,'Directivo 5'!E3),"")</f>
      </c>
      <c r="F3" s="2">
        <f>IFERROR(AVERAGE('Directivo 1'!F3,'Directivo 2'!F3,'Directivo 3'!F3,'Directivo 4'!F3,'Directivo 5'!F3),"")</f>
      </c>
      <c r="G3" s="2">
        <f>IFERROR(AVERAGE('Directivo 1'!G3,'Directivo 2'!G3,'Directivo 3'!G3,'Directivo 4'!G3,'Directivo 5'!G3),"")</f>
      </c>
      <c r="H3" s="2">
        <f>IFERROR(AVERAGE('Directivo 1'!H3,'Directivo 2'!H3,'Directivo 3'!H3,'Directivo 4'!H3,'Directivo 5'!H3),"")</f>
      </c>
      <c r="I3" s="2">
        <f>IFERROR(AVERAGE('Directivo 1'!I3,'Directivo 2'!I3,'Directivo 3'!I3,'Directivo 4'!I3,'Directivo 5'!I3),"")</f>
      </c>
      <c r="J3" s="2">
        <f>IFERROR(AVERAGE('Directivo 1'!J3,'Directivo 2'!J3,'Directivo 3'!J3,'Directivo 4'!J3,'Directivo 5'!J3),"")</f>
      </c>
      <c r="K3" s="2">
        <f>IFERROR(AVERAGE('Directivo 1'!K3,'Directivo 2'!K3,'Directivo 3'!K3,'Directivo 4'!K3,'Directivo 5'!K3),"")</f>
      </c>
      <c r="L3">
        <f>TEXTJOIN(" | ",TRUE,'Directivo 1'!L3,'Directivo 2'!L3,'Directivo 3'!L3,'Directivo 4'!L3,'Directivo 5'!L3)</f>
      </c>
    </row>
    <row r="4">
      <c r="A4" t="inlineStr">
        <is>
          <t>ANIBAL</t>
        </is>
      </c>
      <c r="B4" t="inlineStr">
        <is>
          <t>DEL</t>
        </is>
      </c>
      <c r="C4" t="inlineStr">
        <is>
          <t>lento</t>
        </is>
      </c>
      <c r="D4" s="2">
        <f>IFERROR(AVERAGE('Directivo 1'!D4,'Directivo 2'!D4,'Directivo 3'!D4,'Directivo 4'!D4,'Directivo 5'!D4),"")</f>
      </c>
      <c r="E4" s="2">
        <f>IFERROR(AVERAGE('Directivo 1'!E4,'Directivo 2'!E4,'Directivo 3'!E4,'Directivo 4'!E4,'Directivo 5'!E4),"")</f>
      </c>
      <c r="F4" s="2">
        <f>IFERROR(AVERAGE('Directivo 1'!F4,'Directivo 2'!F4,'Directivo 3'!F4,'Directivo 4'!F4,'Directivo 5'!F4),"")</f>
      </c>
      <c r="G4" s="2">
        <f>IFERROR(AVERAGE('Directivo 1'!G4,'Directivo 2'!G4,'Directivo 3'!G4,'Directivo 4'!G4,'Directivo 5'!G4),"")</f>
      </c>
      <c r="H4" s="2">
        <f>IFERROR(AVERAGE('Directivo 1'!H4,'Directivo 2'!H4,'Directivo 3'!H4,'Directivo 4'!H4,'Directivo 5'!H4),"")</f>
      </c>
      <c r="I4" s="2">
        <f>IFERROR(AVERAGE('Directivo 1'!I4,'Directivo 2'!I4,'Directivo 3'!I4,'Directivo 4'!I4,'Directivo 5'!I4),"")</f>
      </c>
      <c r="J4" s="2">
        <f>IFERROR(AVERAGE('Directivo 1'!J4,'Directivo 2'!J4,'Directivo 3'!J4,'Directivo 4'!J4,'Directivo 5'!J4),"")</f>
      </c>
      <c r="K4" s="2">
        <f>IFERROR(AVERAGE('Directivo 1'!K4,'Directivo 2'!K4,'Directivo 3'!K4,'Directivo 4'!K4,'Directivo 5'!K4),"")</f>
      </c>
      <c r="L4">
        <f>TEXTJOIN(" | ",TRUE,'Directivo 1'!L4,'Directivo 2'!L4,'Directivo 3'!L4,'Directivo 4'!L4,'Directivo 5'!L4)</f>
      </c>
    </row>
    <row r="5">
      <c r="A5" t="inlineStr">
        <is>
          <t>AUGUSTO</t>
        </is>
      </c>
      <c r="B5" t="inlineStr">
        <is>
          <t>MED/LAT</t>
        </is>
      </c>
      <c r="C5" t="inlineStr">
        <is>
          <t>rapido</t>
        </is>
      </c>
      <c r="D5" s="2">
        <f>IFERROR(AVERAGE('Directivo 1'!D5,'Directivo 2'!D5,'Directivo 3'!D5,'Directivo 4'!D5,'Directivo 5'!D5),"")</f>
      </c>
      <c r="E5" s="2">
        <f>IFERROR(AVERAGE('Directivo 1'!E5,'Directivo 2'!E5,'Directivo 3'!E5,'Directivo 4'!E5,'Directivo 5'!E5),"")</f>
      </c>
      <c r="F5" s="2">
        <f>IFERROR(AVERAGE('Directivo 1'!F5,'Directivo 2'!F5,'Directivo 3'!F5,'Directivo 4'!F5,'Directivo 5'!F5),"")</f>
      </c>
      <c r="G5" s="2">
        <f>IFERROR(AVERAGE('Directivo 1'!G5,'Directivo 2'!G5,'Directivo 3'!G5,'Directivo 4'!G5,'Directivo 5'!G5),"")</f>
      </c>
      <c r="H5" s="2">
        <f>IFERROR(AVERAGE('Directivo 1'!H5,'Directivo 2'!H5,'Directivo 3'!H5,'Directivo 4'!H5,'Directivo 5'!H5),"")</f>
      </c>
      <c r="I5" s="2">
        <f>IFERROR(AVERAGE('Directivo 1'!I5,'Directivo 2'!I5,'Directivo 3'!I5,'Directivo 4'!I5,'Directivo 5'!I5),"")</f>
      </c>
      <c r="J5" s="2">
        <f>IFERROR(AVERAGE('Directivo 1'!J5,'Directivo 2'!J5,'Directivo 3'!J5,'Directivo 4'!J5,'Directivo 5'!J5),"")</f>
      </c>
      <c r="K5" s="2">
        <f>IFERROR(AVERAGE('Directivo 1'!K5,'Directivo 2'!K5,'Directivo 3'!K5,'Directivo 4'!K5,'Directivo 5'!K5),"")</f>
      </c>
      <c r="L5">
        <f>TEXTJOIN(" | ",TRUE,'Directivo 1'!L5,'Directivo 2'!L5,'Directivo 3'!L5,'Directivo 4'!L5,'Directivo 5'!L5)</f>
      </c>
    </row>
    <row r="6">
      <c r="A6" t="inlineStr">
        <is>
          <t>BETO</t>
        </is>
      </c>
      <c r="B6" t="inlineStr">
        <is>
          <t>DEL/MED</t>
        </is>
      </c>
      <c r="C6" t="inlineStr">
        <is>
          <t>lento</t>
        </is>
      </c>
      <c r="D6" s="2">
        <f>IFERROR(AVERAGE('Directivo 1'!D6,'Directivo 2'!D6,'Directivo 3'!D6,'Directivo 4'!D6,'Directivo 5'!D6),"")</f>
      </c>
      <c r="E6" s="2">
        <f>IFERROR(AVERAGE('Directivo 1'!E6,'Directivo 2'!E6,'Directivo 3'!E6,'Directivo 4'!E6,'Directivo 5'!E6),"")</f>
      </c>
      <c r="F6" s="2">
        <f>IFERROR(AVERAGE('Directivo 1'!F6,'Directivo 2'!F6,'Directivo 3'!F6,'Directivo 4'!F6,'Directivo 5'!F6),"")</f>
      </c>
      <c r="G6" s="2">
        <f>IFERROR(AVERAGE('Directivo 1'!G6,'Directivo 2'!G6,'Directivo 3'!G6,'Directivo 4'!G6,'Directivo 5'!G6),"")</f>
      </c>
      <c r="H6" s="2">
        <f>IFERROR(AVERAGE('Directivo 1'!H6,'Directivo 2'!H6,'Directivo 3'!H6,'Directivo 4'!H6,'Directivo 5'!H6),"")</f>
      </c>
      <c r="I6" s="2">
        <f>IFERROR(AVERAGE('Directivo 1'!I6,'Directivo 2'!I6,'Directivo 3'!I6,'Directivo 4'!I6,'Directivo 5'!I6),"")</f>
      </c>
      <c r="J6" s="2">
        <f>IFERROR(AVERAGE('Directivo 1'!J6,'Directivo 2'!J6,'Directivo 3'!J6,'Directivo 4'!J6,'Directivo 5'!J6),"")</f>
      </c>
      <c r="K6" s="2">
        <f>IFERROR(AVERAGE('Directivo 1'!K6,'Directivo 2'!K6,'Directivo 3'!K6,'Directivo 4'!K6,'Directivo 5'!K6),"")</f>
      </c>
      <c r="L6">
        <f>TEXTJOIN(" | ",TRUE,'Directivo 1'!L6,'Directivo 2'!L6,'Directivo 3'!L6,'Directivo 4'!L6,'Directivo 5'!L6)</f>
      </c>
    </row>
    <row r="7">
      <c r="A7" t="inlineStr">
        <is>
          <t>BRIAN</t>
        </is>
      </c>
      <c r="B7" t="inlineStr">
        <is>
          <t>DEL/MED</t>
        </is>
      </c>
      <c r="C7" t="inlineStr">
        <is>
          <t>rapido</t>
        </is>
      </c>
      <c r="D7" s="2">
        <f>IFERROR(AVERAGE('Directivo 1'!D7,'Directivo 2'!D7,'Directivo 3'!D7,'Directivo 4'!D7,'Directivo 5'!D7),"")</f>
      </c>
      <c r="E7" s="2">
        <f>IFERROR(AVERAGE('Directivo 1'!E7,'Directivo 2'!E7,'Directivo 3'!E7,'Directivo 4'!E7,'Directivo 5'!E7),"")</f>
      </c>
      <c r="F7" s="2">
        <f>IFERROR(AVERAGE('Directivo 1'!F7,'Directivo 2'!F7,'Directivo 3'!F7,'Directivo 4'!F7,'Directivo 5'!F7),"")</f>
      </c>
      <c r="G7" s="2">
        <f>IFERROR(AVERAGE('Directivo 1'!G7,'Directivo 2'!G7,'Directivo 3'!G7,'Directivo 4'!G7,'Directivo 5'!G7),"")</f>
      </c>
      <c r="H7" s="2">
        <f>IFERROR(AVERAGE('Directivo 1'!H7,'Directivo 2'!H7,'Directivo 3'!H7,'Directivo 4'!H7,'Directivo 5'!H7),"")</f>
      </c>
      <c r="I7" s="2">
        <f>IFERROR(AVERAGE('Directivo 1'!I7,'Directivo 2'!I7,'Directivo 3'!I7,'Directivo 4'!I7,'Directivo 5'!I7),"")</f>
      </c>
      <c r="J7" s="2">
        <f>IFERROR(AVERAGE('Directivo 1'!J7,'Directivo 2'!J7,'Directivo 3'!J7,'Directivo 4'!J7,'Directivo 5'!J7),"")</f>
      </c>
      <c r="K7" s="2">
        <f>IFERROR(AVERAGE('Directivo 1'!K7,'Directivo 2'!K7,'Directivo 3'!K7,'Directivo 4'!K7,'Directivo 5'!K7),"")</f>
      </c>
      <c r="L7">
        <f>TEXTJOIN(" | ",TRUE,'Directivo 1'!L7,'Directivo 2'!L7,'Directivo 3'!L7,'Directivo 4'!L7,'Directivo 5'!L7)</f>
      </c>
    </row>
    <row r="8">
      <c r="A8" t="inlineStr">
        <is>
          <t>CAMILO</t>
        </is>
      </c>
      <c r="B8" t="inlineStr">
        <is>
          <t>MED/DEL</t>
        </is>
      </c>
      <c r="C8" t="inlineStr">
        <is>
          <t>rapido</t>
        </is>
      </c>
      <c r="D8" s="2">
        <f>IFERROR(AVERAGE('Directivo 1'!D8,'Directivo 2'!D8,'Directivo 3'!D8,'Directivo 4'!D8,'Directivo 5'!D8),"")</f>
      </c>
      <c r="E8" s="2">
        <f>IFERROR(AVERAGE('Directivo 1'!E8,'Directivo 2'!E8,'Directivo 3'!E8,'Directivo 4'!E8,'Directivo 5'!E8),"")</f>
      </c>
      <c r="F8" s="2">
        <f>IFERROR(AVERAGE('Directivo 1'!F8,'Directivo 2'!F8,'Directivo 3'!F8,'Directivo 4'!F8,'Directivo 5'!F8),"")</f>
      </c>
      <c r="G8" s="2">
        <f>IFERROR(AVERAGE('Directivo 1'!G8,'Directivo 2'!G8,'Directivo 3'!G8,'Directivo 4'!G8,'Directivo 5'!G8),"")</f>
      </c>
      <c r="H8" s="2">
        <f>IFERROR(AVERAGE('Directivo 1'!H8,'Directivo 2'!H8,'Directivo 3'!H8,'Directivo 4'!H8,'Directivo 5'!H8),"")</f>
      </c>
      <c r="I8" s="2">
        <f>IFERROR(AVERAGE('Directivo 1'!I8,'Directivo 2'!I8,'Directivo 3'!I8,'Directivo 4'!I8,'Directivo 5'!I8),"")</f>
      </c>
      <c r="J8" s="2">
        <f>IFERROR(AVERAGE('Directivo 1'!J8,'Directivo 2'!J8,'Directivo 3'!J8,'Directivo 4'!J8,'Directivo 5'!J8),"")</f>
      </c>
      <c r="K8" s="2">
        <f>IFERROR(AVERAGE('Directivo 1'!K8,'Directivo 2'!K8,'Directivo 3'!K8,'Directivo 4'!K8,'Directivo 5'!K8),"")</f>
      </c>
      <c r="L8">
        <f>TEXTJOIN(" | ",TRUE,'Directivo 1'!L8,'Directivo 2'!L8,'Directivo 3'!L8,'Directivo 4'!L8,'Directivo 5'!L8)</f>
      </c>
    </row>
    <row r="9">
      <c r="A9" t="inlineStr">
        <is>
          <t>CESAR</t>
        </is>
      </c>
      <c r="B9" t="inlineStr">
        <is>
          <t>DEF/LAT</t>
        </is>
      </c>
      <c r="C9" t="inlineStr">
        <is>
          <t>rapido</t>
        </is>
      </c>
      <c r="D9" s="2">
        <f>IFERROR(AVERAGE('Directivo 1'!D9,'Directivo 2'!D9,'Directivo 3'!D9,'Directivo 4'!D9,'Directivo 5'!D9),"")</f>
      </c>
      <c r="E9" s="2">
        <f>IFERROR(AVERAGE('Directivo 1'!E9,'Directivo 2'!E9,'Directivo 3'!E9,'Directivo 4'!E9,'Directivo 5'!E9),"")</f>
      </c>
      <c r="F9" s="2">
        <f>IFERROR(AVERAGE('Directivo 1'!F9,'Directivo 2'!F9,'Directivo 3'!F9,'Directivo 4'!F9,'Directivo 5'!F9),"")</f>
      </c>
      <c r="G9" s="2">
        <f>IFERROR(AVERAGE('Directivo 1'!G9,'Directivo 2'!G9,'Directivo 3'!G9,'Directivo 4'!G9,'Directivo 5'!G9),"")</f>
      </c>
      <c r="H9" s="2">
        <f>IFERROR(AVERAGE('Directivo 1'!H9,'Directivo 2'!H9,'Directivo 3'!H9,'Directivo 4'!H9,'Directivo 5'!H9),"")</f>
      </c>
      <c r="I9" s="2">
        <f>IFERROR(AVERAGE('Directivo 1'!I9,'Directivo 2'!I9,'Directivo 3'!I9,'Directivo 4'!I9,'Directivo 5'!I9),"")</f>
      </c>
      <c r="J9" s="2">
        <f>IFERROR(AVERAGE('Directivo 1'!J9,'Directivo 2'!J9,'Directivo 3'!J9,'Directivo 4'!J9,'Directivo 5'!J9),"")</f>
      </c>
      <c r="K9" s="2">
        <f>IFERROR(AVERAGE('Directivo 1'!K9,'Directivo 2'!K9,'Directivo 3'!K9,'Directivo 4'!K9,'Directivo 5'!K9),"")</f>
      </c>
      <c r="L9">
        <f>TEXTJOIN(" | ",TRUE,'Directivo 1'!L9,'Directivo 2'!L9,'Directivo 3'!L9,'Directivo 4'!L9,'Directivo 5'!L9)</f>
      </c>
    </row>
    <row r="10">
      <c r="A10" t="inlineStr">
        <is>
          <t>COMANCHE</t>
        </is>
      </c>
      <c r="B10" t="inlineStr">
        <is>
          <t>LAT/MED</t>
        </is>
      </c>
      <c r="C10" t="inlineStr">
        <is>
          <t>lento</t>
        </is>
      </c>
      <c r="D10" s="2">
        <f>IFERROR(AVERAGE('Directivo 1'!D10,'Directivo 2'!D10,'Directivo 3'!D10,'Directivo 4'!D10,'Directivo 5'!D10),"")</f>
      </c>
      <c r="E10" s="2">
        <f>IFERROR(AVERAGE('Directivo 1'!E10,'Directivo 2'!E10,'Directivo 3'!E10,'Directivo 4'!E10,'Directivo 5'!E10),"")</f>
      </c>
      <c r="F10" s="2">
        <f>IFERROR(AVERAGE('Directivo 1'!F10,'Directivo 2'!F10,'Directivo 3'!F10,'Directivo 4'!F10,'Directivo 5'!F10),"")</f>
      </c>
      <c r="G10" s="2">
        <f>IFERROR(AVERAGE('Directivo 1'!G10,'Directivo 2'!G10,'Directivo 3'!G10,'Directivo 4'!G10,'Directivo 5'!G10),"")</f>
      </c>
      <c r="H10" s="2">
        <f>IFERROR(AVERAGE('Directivo 1'!H10,'Directivo 2'!H10,'Directivo 3'!H10,'Directivo 4'!H10,'Directivo 5'!H10),"")</f>
      </c>
      <c r="I10" s="2">
        <f>IFERROR(AVERAGE('Directivo 1'!I10,'Directivo 2'!I10,'Directivo 3'!I10,'Directivo 4'!I10,'Directivo 5'!I10),"")</f>
      </c>
      <c r="J10" s="2">
        <f>IFERROR(AVERAGE('Directivo 1'!J10,'Directivo 2'!J10,'Directivo 3'!J10,'Directivo 4'!J10,'Directivo 5'!J10),"")</f>
      </c>
      <c r="K10" s="2">
        <f>IFERROR(AVERAGE('Directivo 1'!K10,'Directivo 2'!K10,'Directivo 3'!K10,'Directivo 4'!K10,'Directivo 5'!K10),"")</f>
      </c>
      <c r="L10">
        <f>TEXTJOIN(" | ",TRUE,'Directivo 1'!L10,'Directivo 2'!L10,'Directivo 3'!L10,'Directivo 4'!L10,'Directivo 5'!L10)</f>
      </c>
    </row>
    <row r="11">
      <c r="A11" t="inlineStr">
        <is>
          <t>CRISTIAN</t>
        </is>
      </c>
      <c r="B11" t="inlineStr">
        <is>
          <t>DEL/ARQ</t>
        </is>
      </c>
      <c r="C11" t="inlineStr">
        <is>
          <t>lento</t>
        </is>
      </c>
      <c r="D11" s="2">
        <f>IFERROR(AVERAGE('Directivo 1'!D11,'Directivo 2'!D11,'Directivo 3'!D11,'Directivo 4'!D11,'Directivo 5'!D11),"")</f>
      </c>
      <c r="E11" s="2">
        <f>IFERROR(AVERAGE('Directivo 1'!E11,'Directivo 2'!E11,'Directivo 3'!E11,'Directivo 4'!E11,'Directivo 5'!E11),"")</f>
      </c>
      <c r="F11" s="2">
        <f>IFERROR(AVERAGE('Directivo 1'!F11,'Directivo 2'!F11,'Directivo 3'!F11,'Directivo 4'!F11,'Directivo 5'!F11),"")</f>
      </c>
      <c r="G11" s="2">
        <f>IFERROR(AVERAGE('Directivo 1'!G11,'Directivo 2'!G11,'Directivo 3'!G11,'Directivo 4'!G11,'Directivo 5'!G11),"")</f>
      </c>
      <c r="H11" s="2">
        <f>IFERROR(AVERAGE('Directivo 1'!H11,'Directivo 2'!H11,'Directivo 3'!H11,'Directivo 4'!H11,'Directivo 5'!H11),"")</f>
      </c>
      <c r="I11" s="2">
        <f>IFERROR(AVERAGE('Directivo 1'!I11,'Directivo 2'!I11,'Directivo 3'!I11,'Directivo 4'!I11,'Directivo 5'!I11),"")</f>
      </c>
      <c r="J11" s="2">
        <f>IFERROR(AVERAGE('Directivo 1'!J11,'Directivo 2'!J11,'Directivo 3'!J11,'Directivo 4'!J11,'Directivo 5'!J11),"")</f>
      </c>
      <c r="K11" s="2">
        <f>IFERROR(AVERAGE('Directivo 1'!K11,'Directivo 2'!K11,'Directivo 3'!K11,'Directivo 4'!K11,'Directivo 5'!K11),"")</f>
      </c>
      <c r="L11">
        <f>TEXTJOIN(" | ",TRUE,'Directivo 1'!L11,'Directivo 2'!L11,'Directivo 3'!L11,'Directivo 4'!L11,'Directivo 5'!L11)</f>
      </c>
    </row>
    <row r="12">
      <c r="A12" t="inlineStr">
        <is>
          <t>CUERVO</t>
        </is>
      </c>
      <c r="B12" t="inlineStr">
        <is>
          <t>DEL/DEF</t>
        </is>
      </c>
      <c r="C12" t="inlineStr">
        <is>
          <t>rapido</t>
        </is>
      </c>
      <c r="D12" s="2">
        <f>IFERROR(AVERAGE('Directivo 1'!D12,'Directivo 2'!D12,'Directivo 3'!D12,'Directivo 4'!D12,'Directivo 5'!D12),"")</f>
      </c>
      <c r="E12" s="2">
        <f>IFERROR(AVERAGE('Directivo 1'!E12,'Directivo 2'!E12,'Directivo 3'!E12,'Directivo 4'!E12,'Directivo 5'!E12),"")</f>
      </c>
      <c r="F12" s="2">
        <f>IFERROR(AVERAGE('Directivo 1'!F12,'Directivo 2'!F12,'Directivo 3'!F12,'Directivo 4'!F12,'Directivo 5'!F12),"")</f>
      </c>
      <c r="G12" s="2">
        <f>IFERROR(AVERAGE('Directivo 1'!G12,'Directivo 2'!G12,'Directivo 3'!G12,'Directivo 4'!G12,'Directivo 5'!G12),"")</f>
      </c>
      <c r="H12" s="2">
        <f>IFERROR(AVERAGE('Directivo 1'!H12,'Directivo 2'!H12,'Directivo 3'!H12,'Directivo 4'!H12,'Directivo 5'!H12),"")</f>
      </c>
      <c r="I12" s="2">
        <f>IFERROR(AVERAGE('Directivo 1'!I12,'Directivo 2'!I12,'Directivo 3'!I12,'Directivo 4'!I12,'Directivo 5'!I12),"")</f>
      </c>
      <c r="J12" s="2">
        <f>IFERROR(AVERAGE('Directivo 1'!J12,'Directivo 2'!J12,'Directivo 3'!J12,'Directivo 4'!J12,'Directivo 5'!J12),"")</f>
      </c>
      <c r="K12" s="2">
        <f>IFERROR(AVERAGE('Directivo 1'!K12,'Directivo 2'!K12,'Directivo 3'!K12,'Directivo 4'!K12,'Directivo 5'!K12),"")</f>
      </c>
      <c r="L12">
        <f>TEXTJOIN(" | ",TRUE,'Directivo 1'!L12,'Directivo 2'!L12,'Directivo 3'!L12,'Directivo 4'!L12,'Directivo 5'!L12)</f>
      </c>
    </row>
    <row r="13">
      <c r="A13" t="inlineStr">
        <is>
          <t>ELIAN</t>
        </is>
      </c>
      <c r="B13" t="inlineStr">
        <is>
          <t>DEF/DEL</t>
        </is>
      </c>
      <c r="C13" t="inlineStr">
        <is>
          <t>lento</t>
        </is>
      </c>
      <c r="D13" s="2">
        <f>IFERROR(AVERAGE('Directivo 1'!D13,'Directivo 2'!D13,'Directivo 3'!D13,'Directivo 4'!D13,'Directivo 5'!D13),"")</f>
      </c>
      <c r="E13" s="2">
        <f>IFERROR(AVERAGE('Directivo 1'!E13,'Directivo 2'!E13,'Directivo 3'!E13,'Directivo 4'!E13,'Directivo 5'!E13),"")</f>
      </c>
      <c r="F13" s="2">
        <f>IFERROR(AVERAGE('Directivo 1'!F13,'Directivo 2'!F13,'Directivo 3'!F13,'Directivo 4'!F13,'Directivo 5'!F13),"")</f>
      </c>
      <c r="G13" s="2">
        <f>IFERROR(AVERAGE('Directivo 1'!G13,'Directivo 2'!G13,'Directivo 3'!G13,'Directivo 4'!G13,'Directivo 5'!G13),"")</f>
      </c>
      <c r="H13" s="2">
        <f>IFERROR(AVERAGE('Directivo 1'!H13,'Directivo 2'!H13,'Directivo 3'!H13,'Directivo 4'!H13,'Directivo 5'!H13),"")</f>
      </c>
      <c r="I13" s="2">
        <f>IFERROR(AVERAGE('Directivo 1'!I13,'Directivo 2'!I13,'Directivo 3'!I13,'Directivo 4'!I13,'Directivo 5'!I13),"")</f>
      </c>
      <c r="J13" s="2">
        <f>IFERROR(AVERAGE('Directivo 1'!J13,'Directivo 2'!J13,'Directivo 3'!J13,'Directivo 4'!J13,'Directivo 5'!J13),"")</f>
      </c>
      <c r="K13" s="2">
        <f>IFERROR(AVERAGE('Directivo 1'!K13,'Directivo 2'!K13,'Directivo 3'!K13,'Directivo 4'!K13,'Directivo 5'!K13),"")</f>
      </c>
      <c r="L13">
        <f>TEXTJOIN(" | ",TRUE,'Directivo 1'!L13,'Directivo 2'!L13,'Directivo 3'!L13,'Directivo 4'!L13,'Directivo 5'!L13)</f>
      </c>
    </row>
    <row r="14">
      <c r="A14" t="inlineStr">
        <is>
          <t>FACU</t>
        </is>
      </c>
      <c r="B14" t="inlineStr">
        <is>
          <t>DEF/DEL</t>
        </is>
      </c>
      <c r="C14" t="inlineStr">
        <is>
          <t>lento</t>
        </is>
      </c>
      <c r="D14" s="2">
        <f>IFERROR(AVERAGE('Directivo 1'!D14,'Directivo 2'!D14,'Directivo 3'!D14,'Directivo 4'!D14,'Directivo 5'!D14),"")</f>
      </c>
      <c r="E14" s="2">
        <f>IFERROR(AVERAGE('Directivo 1'!E14,'Directivo 2'!E14,'Directivo 3'!E14,'Directivo 4'!E14,'Directivo 5'!E14),"")</f>
      </c>
      <c r="F14" s="2">
        <f>IFERROR(AVERAGE('Directivo 1'!F14,'Directivo 2'!F14,'Directivo 3'!F14,'Directivo 4'!F14,'Directivo 5'!F14),"")</f>
      </c>
      <c r="G14" s="2">
        <f>IFERROR(AVERAGE('Directivo 1'!G14,'Directivo 2'!G14,'Directivo 3'!G14,'Directivo 4'!G14,'Directivo 5'!G14),"")</f>
      </c>
      <c r="H14" s="2">
        <f>IFERROR(AVERAGE('Directivo 1'!H14,'Directivo 2'!H14,'Directivo 3'!H14,'Directivo 4'!H14,'Directivo 5'!H14),"")</f>
      </c>
      <c r="I14" s="2">
        <f>IFERROR(AVERAGE('Directivo 1'!I14,'Directivo 2'!I14,'Directivo 3'!I14,'Directivo 4'!I14,'Directivo 5'!I14),"")</f>
      </c>
      <c r="J14" s="2">
        <f>IFERROR(AVERAGE('Directivo 1'!J14,'Directivo 2'!J14,'Directivo 3'!J14,'Directivo 4'!J14,'Directivo 5'!J14),"")</f>
      </c>
      <c r="K14" s="2">
        <f>IFERROR(AVERAGE('Directivo 1'!K14,'Directivo 2'!K14,'Directivo 3'!K14,'Directivo 4'!K14,'Directivo 5'!K14),"")</f>
      </c>
      <c r="L14">
        <f>TEXTJOIN(" | ",TRUE,'Directivo 1'!L14,'Directivo 2'!L14,'Directivo 3'!L14,'Directivo 4'!L14,'Directivo 5'!L14)</f>
      </c>
    </row>
    <row r="15">
      <c r="A15" t="inlineStr">
        <is>
          <t>FRANCISCO</t>
        </is>
      </c>
      <c r="B15" t="inlineStr">
        <is>
          <t>ARQ/DEL</t>
        </is>
      </c>
      <c r="C15" t="inlineStr">
        <is>
          <t>lento</t>
        </is>
      </c>
      <c r="D15" s="2">
        <f>IFERROR(AVERAGE('Directivo 1'!D15,'Directivo 2'!D15,'Directivo 3'!D15,'Directivo 4'!D15,'Directivo 5'!D15),"")</f>
      </c>
      <c r="E15" s="2">
        <f>IFERROR(AVERAGE('Directivo 1'!E15,'Directivo 2'!E15,'Directivo 3'!E15,'Directivo 4'!E15,'Directivo 5'!E15),"")</f>
      </c>
      <c r="F15" s="2">
        <f>IFERROR(AVERAGE('Directivo 1'!F15,'Directivo 2'!F15,'Directivo 3'!F15,'Directivo 4'!F15,'Directivo 5'!F15),"")</f>
      </c>
      <c r="G15" s="2">
        <f>IFERROR(AVERAGE('Directivo 1'!G15,'Directivo 2'!G15,'Directivo 3'!G15,'Directivo 4'!G15,'Directivo 5'!G15),"")</f>
      </c>
      <c r="H15" s="2">
        <f>IFERROR(AVERAGE('Directivo 1'!H15,'Directivo 2'!H15,'Directivo 3'!H15,'Directivo 4'!H15,'Directivo 5'!H15),"")</f>
      </c>
      <c r="I15" s="2">
        <f>IFERROR(AVERAGE('Directivo 1'!I15,'Directivo 2'!I15,'Directivo 3'!I15,'Directivo 4'!I15,'Directivo 5'!I15),"")</f>
      </c>
      <c r="J15" s="2">
        <f>IFERROR(AVERAGE('Directivo 1'!J15,'Directivo 2'!J15,'Directivo 3'!J15,'Directivo 4'!J15,'Directivo 5'!J15),"")</f>
      </c>
      <c r="K15" s="2">
        <f>IFERROR(AVERAGE('Directivo 1'!K15,'Directivo 2'!K15,'Directivo 3'!K15,'Directivo 4'!K15,'Directivo 5'!K15),"")</f>
      </c>
      <c r="L15">
        <f>TEXTJOIN(" | ",TRUE,'Directivo 1'!L15,'Directivo 2'!L15,'Directivo 3'!L15,'Directivo 4'!L15,'Directivo 5'!L15)</f>
      </c>
    </row>
    <row r="16">
      <c r="A16" t="inlineStr">
        <is>
          <t>FRANCO COMOLLI</t>
        </is>
      </c>
      <c r="B16" t="inlineStr">
        <is>
          <t>MED/DEL</t>
        </is>
      </c>
      <c r="C16" t="inlineStr">
        <is>
          <t>rapido</t>
        </is>
      </c>
      <c r="D16" s="2">
        <f>IFERROR(AVERAGE('Directivo 1'!D16,'Directivo 2'!D16,'Directivo 3'!D16,'Directivo 4'!D16,'Directivo 5'!D16),"")</f>
      </c>
      <c r="E16" s="2">
        <f>IFERROR(AVERAGE('Directivo 1'!E16,'Directivo 2'!E16,'Directivo 3'!E16,'Directivo 4'!E16,'Directivo 5'!E16),"")</f>
      </c>
      <c r="F16" s="2">
        <f>IFERROR(AVERAGE('Directivo 1'!F16,'Directivo 2'!F16,'Directivo 3'!F16,'Directivo 4'!F16,'Directivo 5'!F16),"")</f>
      </c>
      <c r="G16" s="2">
        <f>IFERROR(AVERAGE('Directivo 1'!G16,'Directivo 2'!G16,'Directivo 3'!G16,'Directivo 4'!G16,'Directivo 5'!G16),"")</f>
      </c>
      <c r="H16" s="2">
        <f>IFERROR(AVERAGE('Directivo 1'!H16,'Directivo 2'!H16,'Directivo 3'!H16,'Directivo 4'!H16,'Directivo 5'!H16),"")</f>
      </c>
      <c r="I16" s="2">
        <f>IFERROR(AVERAGE('Directivo 1'!I16,'Directivo 2'!I16,'Directivo 3'!I16,'Directivo 4'!I16,'Directivo 5'!I16),"")</f>
      </c>
      <c r="J16" s="2">
        <f>IFERROR(AVERAGE('Directivo 1'!J16,'Directivo 2'!J16,'Directivo 3'!J16,'Directivo 4'!J16,'Directivo 5'!J16),"")</f>
      </c>
      <c r="K16" s="2">
        <f>IFERROR(AVERAGE('Directivo 1'!K16,'Directivo 2'!K16,'Directivo 3'!K16,'Directivo 4'!K16,'Directivo 5'!K16),"")</f>
      </c>
      <c r="L16">
        <f>TEXTJOIN(" | ",TRUE,'Directivo 1'!L16,'Directivo 2'!L16,'Directivo 3'!L16,'Directivo 4'!L16,'Directivo 5'!L16)</f>
      </c>
    </row>
    <row r="17">
      <c r="A17" t="inlineStr">
        <is>
          <t>FRANCOK</t>
        </is>
      </c>
      <c r="B17" t="inlineStr">
        <is>
          <t>ARQ/LAT</t>
        </is>
      </c>
      <c r="C17" t="inlineStr">
        <is>
          <t>rapido</t>
        </is>
      </c>
      <c r="D17" s="2">
        <f>IFERROR(AVERAGE('Directivo 1'!D17,'Directivo 2'!D17,'Directivo 3'!D17,'Directivo 4'!D17,'Directivo 5'!D17),"")</f>
      </c>
      <c r="E17" s="2">
        <f>IFERROR(AVERAGE('Directivo 1'!E17,'Directivo 2'!E17,'Directivo 3'!E17,'Directivo 4'!E17,'Directivo 5'!E17),"")</f>
      </c>
      <c r="F17" s="2">
        <f>IFERROR(AVERAGE('Directivo 1'!F17,'Directivo 2'!F17,'Directivo 3'!F17,'Directivo 4'!F17,'Directivo 5'!F17),"")</f>
      </c>
      <c r="G17" s="2">
        <f>IFERROR(AVERAGE('Directivo 1'!G17,'Directivo 2'!G17,'Directivo 3'!G17,'Directivo 4'!G17,'Directivo 5'!G17),"")</f>
      </c>
      <c r="H17" s="2">
        <f>IFERROR(AVERAGE('Directivo 1'!H17,'Directivo 2'!H17,'Directivo 3'!H17,'Directivo 4'!H17,'Directivo 5'!H17),"")</f>
      </c>
      <c r="I17" s="2">
        <f>IFERROR(AVERAGE('Directivo 1'!I17,'Directivo 2'!I17,'Directivo 3'!I17,'Directivo 4'!I17,'Directivo 5'!I17),"")</f>
      </c>
      <c r="J17" s="2">
        <f>IFERROR(AVERAGE('Directivo 1'!J17,'Directivo 2'!J17,'Directivo 3'!J17,'Directivo 4'!J17,'Directivo 5'!J17),"")</f>
      </c>
      <c r="K17" s="2">
        <f>IFERROR(AVERAGE('Directivo 1'!K17,'Directivo 2'!K17,'Directivo 3'!K17,'Directivo 4'!K17,'Directivo 5'!K17),"")</f>
      </c>
      <c r="L17">
        <f>TEXTJOIN(" | ",TRUE,'Directivo 1'!L17,'Directivo 2'!L17,'Directivo 3'!L17,'Directivo 4'!L17,'Directivo 5'!L17)</f>
      </c>
    </row>
    <row r="18">
      <c r="A18" t="inlineStr">
        <is>
          <t>FRANQUITO</t>
        </is>
      </c>
      <c r="B18" t="inlineStr">
        <is>
          <t>MED</t>
        </is>
      </c>
      <c r="C18" t="inlineStr">
        <is>
          <t>rapido</t>
        </is>
      </c>
      <c r="D18" s="2">
        <f>IFERROR(AVERAGE('Directivo 1'!D18,'Directivo 2'!D18,'Directivo 3'!D18,'Directivo 4'!D18,'Directivo 5'!D18),"")</f>
      </c>
      <c r="E18" s="2">
        <f>IFERROR(AVERAGE('Directivo 1'!E18,'Directivo 2'!E18,'Directivo 3'!E18,'Directivo 4'!E18,'Directivo 5'!E18),"")</f>
      </c>
      <c r="F18" s="2">
        <f>IFERROR(AVERAGE('Directivo 1'!F18,'Directivo 2'!F18,'Directivo 3'!F18,'Directivo 4'!F18,'Directivo 5'!F18),"")</f>
      </c>
      <c r="G18" s="2">
        <f>IFERROR(AVERAGE('Directivo 1'!G18,'Directivo 2'!G18,'Directivo 3'!G18,'Directivo 4'!G18,'Directivo 5'!G18),"")</f>
      </c>
      <c r="H18" s="2">
        <f>IFERROR(AVERAGE('Directivo 1'!H18,'Directivo 2'!H18,'Directivo 3'!H18,'Directivo 4'!H18,'Directivo 5'!H18),"")</f>
      </c>
      <c r="I18" s="2">
        <f>IFERROR(AVERAGE('Directivo 1'!I18,'Directivo 2'!I18,'Directivo 3'!I18,'Directivo 4'!I18,'Directivo 5'!I18),"")</f>
      </c>
      <c r="J18" s="2">
        <f>IFERROR(AVERAGE('Directivo 1'!J18,'Directivo 2'!J18,'Directivo 3'!J18,'Directivo 4'!J18,'Directivo 5'!J18),"")</f>
      </c>
      <c r="K18" s="2">
        <f>IFERROR(AVERAGE('Directivo 1'!K18,'Directivo 2'!K18,'Directivo 3'!K18,'Directivo 4'!K18,'Directivo 5'!K18),"")</f>
      </c>
      <c r="L18">
        <f>TEXTJOIN(" | ",TRUE,'Directivo 1'!L18,'Directivo 2'!L18,'Directivo 3'!L18,'Directivo 4'!L18,'Directivo 5'!L18)</f>
      </c>
    </row>
    <row r="19">
      <c r="A19" t="inlineStr">
        <is>
          <t>GONZA</t>
        </is>
      </c>
      <c r="B19" t="inlineStr">
        <is>
          <t>ARQ/DEF</t>
        </is>
      </c>
      <c r="C19" t="inlineStr">
        <is>
          <t>lento</t>
        </is>
      </c>
      <c r="D19" s="2">
        <f>IFERROR(AVERAGE('Directivo 1'!D19,'Directivo 2'!D19,'Directivo 3'!D19,'Directivo 4'!D19,'Directivo 5'!D19),"")</f>
      </c>
      <c r="E19" s="2">
        <f>IFERROR(AVERAGE('Directivo 1'!E19,'Directivo 2'!E19,'Directivo 3'!E19,'Directivo 4'!E19,'Directivo 5'!E19),"")</f>
      </c>
      <c r="F19" s="2">
        <f>IFERROR(AVERAGE('Directivo 1'!F19,'Directivo 2'!F19,'Directivo 3'!F19,'Directivo 4'!F19,'Directivo 5'!F19),"")</f>
      </c>
      <c r="G19" s="2">
        <f>IFERROR(AVERAGE('Directivo 1'!G19,'Directivo 2'!G19,'Directivo 3'!G19,'Directivo 4'!G19,'Directivo 5'!G19),"")</f>
      </c>
      <c r="H19" s="2">
        <f>IFERROR(AVERAGE('Directivo 1'!H19,'Directivo 2'!H19,'Directivo 3'!H19,'Directivo 4'!H19,'Directivo 5'!H19),"")</f>
      </c>
      <c r="I19" s="2">
        <f>IFERROR(AVERAGE('Directivo 1'!I19,'Directivo 2'!I19,'Directivo 3'!I19,'Directivo 4'!I19,'Directivo 5'!I19),"")</f>
      </c>
      <c r="J19" s="2">
        <f>IFERROR(AVERAGE('Directivo 1'!J19,'Directivo 2'!J19,'Directivo 3'!J19,'Directivo 4'!J19,'Directivo 5'!J19),"")</f>
      </c>
      <c r="K19" s="2">
        <f>IFERROR(AVERAGE('Directivo 1'!K19,'Directivo 2'!K19,'Directivo 3'!K19,'Directivo 4'!K19,'Directivo 5'!K19),"")</f>
      </c>
      <c r="L19">
        <f>TEXTJOIN(" | ",TRUE,'Directivo 1'!L19,'Directivo 2'!L19,'Directivo 3'!L19,'Directivo 4'!L19,'Directivo 5'!L19)</f>
      </c>
    </row>
    <row r="20">
      <c r="A20" t="inlineStr">
        <is>
          <t>GUILLE</t>
        </is>
      </c>
      <c r="B20" t="inlineStr">
        <is>
          <t>LAT/ARQ</t>
        </is>
      </c>
      <c r="C20" t="inlineStr">
        <is>
          <t>lento</t>
        </is>
      </c>
      <c r="D20" s="2">
        <f>IFERROR(AVERAGE('Directivo 1'!D20,'Directivo 2'!D20,'Directivo 3'!D20,'Directivo 4'!D20,'Directivo 5'!D20),"")</f>
      </c>
      <c r="E20" s="2">
        <f>IFERROR(AVERAGE('Directivo 1'!E20,'Directivo 2'!E20,'Directivo 3'!E20,'Directivo 4'!E20,'Directivo 5'!E20),"")</f>
      </c>
      <c r="F20" s="2">
        <f>IFERROR(AVERAGE('Directivo 1'!F20,'Directivo 2'!F20,'Directivo 3'!F20,'Directivo 4'!F20,'Directivo 5'!F20),"")</f>
      </c>
      <c r="G20" s="2">
        <f>IFERROR(AVERAGE('Directivo 1'!G20,'Directivo 2'!G20,'Directivo 3'!G20,'Directivo 4'!G20,'Directivo 5'!G20),"")</f>
      </c>
      <c r="H20" s="2">
        <f>IFERROR(AVERAGE('Directivo 1'!H20,'Directivo 2'!H20,'Directivo 3'!H20,'Directivo 4'!H20,'Directivo 5'!H20),"")</f>
      </c>
      <c r="I20" s="2">
        <f>IFERROR(AVERAGE('Directivo 1'!I20,'Directivo 2'!I20,'Directivo 3'!I20,'Directivo 4'!I20,'Directivo 5'!I20),"")</f>
      </c>
      <c r="J20" s="2">
        <f>IFERROR(AVERAGE('Directivo 1'!J20,'Directivo 2'!J20,'Directivo 3'!J20,'Directivo 4'!J20,'Directivo 5'!J20),"")</f>
      </c>
      <c r="K20" s="2">
        <f>IFERROR(AVERAGE('Directivo 1'!K20,'Directivo 2'!K20,'Directivo 3'!K20,'Directivo 4'!K20,'Directivo 5'!K20),"")</f>
      </c>
      <c r="L20">
        <f>TEXTJOIN(" | ",TRUE,'Directivo 1'!L20,'Directivo 2'!L20,'Directivo 3'!L20,'Directivo 4'!L20,'Directivo 5'!L20)</f>
      </c>
    </row>
    <row r="21">
      <c r="A21" t="inlineStr">
        <is>
          <t>ISMA</t>
        </is>
      </c>
      <c r="B21" t="inlineStr">
        <is>
          <t>MED/LAT</t>
        </is>
      </c>
      <c r="C21" t="inlineStr">
        <is>
          <t>rapido</t>
        </is>
      </c>
      <c r="D21" s="2">
        <f>IFERROR(AVERAGE('Directivo 1'!D21,'Directivo 2'!D21,'Directivo 3'!D21,'Directivo 4'!D21,'Directivo 5'!D21),"")</f>
      </c>
      <c r="E21" s="2">
        <f>IFERROR(AVERAGE('Directivo 1'!E21,'Directivo 2'!E21,'Directivo 3'!E21,'Directivo 4'!E21,'Directivo 5'!E21),"")</f>
      </c>
      <c r="F21" s="2">
        <f>IFERROR(AVERAGE('Directivo 1'!F21,'Directivo 2'!F21,'Directivo 3'!F21,'Directivo 4'!F21,'Directivo 5'!F21),"")</f>
      </c>
      <c r="G21" s="2">
        <f>IFERROR(AVERAGE('Directivo 1'!G21,'Directivo 2'!G21,'Directivo 3'!G21,'Directivo 4'!G21,'Directivo 5'!G21),"")</f>
      </c>
      <c r="H21" s="2">
        <f>IFERROR(AVERAGE('Directivo 1'!H21,'Directivo 2'!H21,'Directivo 3'!H21,'Directivo 4'!H21,'Directivo 5'!H21),"")</f>
      </c>
      <c r="I21" s="2">
        <f>IFERROR(AVERAGE('Directivo 1'!I21,'Directivo 2'!I21,'Directivo 3'!I21,'Directivo 4'!I21,'Directivo 5'!I21),"")</f>
      </c>
      <c r="J21" s="2">
        <f>IFERROR(AVERAGE('Directivo 1'!J21,'Directivo 2'!J21,'Directivo 3'!J21,'Directivo 4'!J21,'Directivo 5'!J21),"")</f>
      </c>
      <c r="K21" s="2">
        <f>IFERROR(AVERAGE('Directivo 1'!K21,'Directivo 2'!K21,'Directivo 3'!K21,'Directivo 4'!K21,'Directivo 5'!K21),"")</f>
      </c>
      <c r="L21">
        <f>TEXTJOIN(" | ",TRUE,'Directivo 1'!L21,'Directivo 2'!L21,'Directivo 3'!L21,'Directivo 4'!L21,'Directivo 5'!L21)</f>
      </c>
    </row>
    <row r="22">
      <c r="A22" t="inlineStr">
        <is>
          <t>JAVI</t>
        </is>
      </c>
      <c r="B22" t="inlineStr">
        <is>
          <t>DEF/ARQ</t>
        </is>
      </c>
      <c r="C22" t="inlineStr">
        <is>
          <t>lento</t>
        </is>
      </c>
      <c r="D22" s="2">
        <f>IFERROR(AVERAGE('Directivo 1'!D22,'Directivo 2'!D22,'Directivo 3'!D22,'Directivo 4'!D22,'Directivo 5'!D22),"")</f>
      </c>
      <c r="E22" s="2">
        <f>IFERROR(AVERAGE('Directivo 1'!E22,'Directivo 2'!E22,'Directivo 3'!E22,'Directivo 4'!E22,'Directivo 5'!E22),"")</f>
      </c>
      <c r="F22" s="2">
        <f>IFERROR(AVERAGE('Directivo 1'!F22,'Directivo 2'!F22,'Directivo 3'!F22,'Directivo 4'!F22,'Directivo 5'!F22),"")</f>
      </c>
      <c r="G22" s="2">
        <f>IFERROR(AVERAGE('Directivo 1'!G22,'Directivo 2'!G22,'Directivo 3'!G22,'Directivo 4'!G22,'Directivo 5'!G22),"")</f>
      </c>
      <c r="H22" s="2">
        <f>IFERROR(AVERAGE('Directivo 1'!H22,'Directivo 2'!H22,'Directivo 3'!H22,'Directivo 4'!H22,'Directivo 5'!H22),"")</f>
      </c>
      <c r="I22" s="2">
        <f>IFERROR(AVERAGE('Directivo 1'!I22,'Directivo 2'!I22,'Directivo 3'!I22,'Directivo 4'!I22,'Directivo 5'!I22),"")</f>
      </c>
      <c r="J22" s="2">
        <f>IFERROR(AVERAGE('Directivo 1'!J22,'Directivo 2'!J22,'Directivo 3'!J22,'Directivo 4'!J22,'Directivo 5'!J22),"")</f>
      </c>
      <c r="K22" s="2">
        <f>IFERROR(AVERAGE('Directivo 1'!K22,'Directivo 2'!K22,'Directivo 3'!K22,'Directivo 4'!K22,'Directivo 5'!K22),"")</f>
      </c>
      <c r="L22">
        <f>TEXTJOIN(" | ",TRUE,'Directivo 1'!L22,'Directivo 2'!L22,'Directivo 3'!L22,'Directivo 4'!L22,'Directivo 5'!L22)</f>
      </c>
    </row>
    <row r="23">
      <c r="A23" t="inlineStr">
        <is>
          <t>JEAN FRANCO</t>
        </is>
      </c>
      <c r="B23" t="inlineStr">
        <is>
          <t>DEL</t>
        </is>
      </c>
      <c r="C23" t="inlineStr">
        <is>
          <t>lento</t>
        </is>
      </c>
      <c r="D23" s="2">
        <f>IFERROR(AVERAGE('Directivo 1'!D23,'Directivo 2'!D23,'Directivo 3'!D23,'Directivo 4'!D23,'Directivo 5'!D23),"")</f>
      </c>
      <c r="E23" s="2">
        <f>IFERROR(AVERAGE('Directivo 1'!E23,'Directivo 2'!E23,'Directivo 3'!E23,'Directivo 4'!E23,'Directivo 5'!E23),"")</f>
      </c>
      <c r="F23" s="2">
        <f>IFERROR(AVERAGE('Directivo 1'!F23,'Directivo 2'!F23,'Directivo 3'!F23,'Directivo 4'!F23,'Directivo 5'!F23),"")</f>
      </c>
      <c r="G23" s="2">
        <f>IFERROR(AVERAGE('Directivo 1'!G23,'Directivo 2'!G23,'Directivo 3'!G23,'Directivo 4'!G23,'Directivo 5'!G23),"")</f>
      </c>
      <c r="H23" s="2">
        <f>IFERROR(AVERAGE('Directivo 1'!H23,'Directivo 2'!H23,'Directivo 3'!H23,'Directivo 4'!H23,'Directivo 5'!H23),"")</f>
      </c>
      <c r="I23" s="2">
        <f>IFERROR(AVERAGE('Directivo 1'!I23,'Directivo 2'!I23,'Directivo 3'!I23,'Directivo 4'!I23,'Directivo 5'!I23),"")</f>
      </c>
      <c r="J23" s="2">
        <f>IFERROR(AVERAGE('Directivo 1'!J23,'Directivo 2'!J23,'Directivo 3'!J23,'Directivo 4'!J23,'Directivo 5'!J23),"")</f>
      </c>
      <c r="K23" s="2">
        <f>IFERROR(AVERAGE('Directivo 1'!K23,'Directivo 2'!K23,'Directivo 3'!K23,'Directivo 4'!K23,'Directivo 5'!K23),"")</f>
      </c>
      <c r="L23">
        <f>TEXTJOIN(" | ",TRUE,'Directivo 1'!L23,'Directivo 2'!L23,'Directivo 3'!L23,'Directivo 4'!L23,'Directivo 5'!L23)</f>
      </c>
    </row>
    <row r="24">
      <c r="A24" t="inlineStr">
        <is>
          <t>MANU</t>
        </is>
      </c>
      <c r="B24" t="inlineStr">
        <is>
          <t>LAT/MED</t>
        </is>
      </c>
      <c r="C24" t="inlineStr">
        <is>
          <t>rapido</t>
        </is>
      </c>
      <c r="D24" s="2">
        <f>IFERROR(AVERAGE('Directivo 1'!D24,'Directivo 2'!D24,'Directivo 3'!D24,'Directivo 4'!D24,'Directivo 5'!D24),"")</f>
      </c>
      <c r="E24" s="2">
        <f>IFERROR(AVERAGE('Directivo 1'!E24,'Directivo 2'!E24,'Directivo 3'!E24,'Directivo 4'!E24,'Directivo 5'!E24),"")</f>
      </c>
      <c r="F24" s="2">
        <f>IFERROR(AVERAGE('Directivo 1'!F24,'Directivo 2'!F24,'Directivo 3'!F24,'Directivo 4'!F24,'Directivo 5'!F24),"")</f>
      </c>
      <c r="G24" s="2">
        <f>IFERROR(AVERAGE('Directivo 1'!G24,'Directivo 2'!G24,'Directivo 3'!G24,'Directivo 4'!G24,'Directivo 5'!G24),"")</f>
      </c>
      <c r="H24" s="2">
        <f>IFERROR(AVERAGE('Directivo 1'!H24,'Directivo 2'!H24,'Directivo 3'!H24,'Directivo 4'!H24,'Directivo 5'!H24),"")</f>
      </c>
      <c r="I24" s="2">
        <f>IFERROR(AVERAGE('Directivo 1'!I24,'Directivo 2'!I24,'Directivo 3'!I24,'Directivo 4'!I24,'Directivo 5'!I24),"")</f>
      </c>
      <c r="J24" s="2">
        <f>IFERROR(AVERAGE('Directivo 1'!J24,'Directivo 2'!J24,'Directivo 3'!J24,'Directivo 4'!J24,'Directivo 5'!J24),"")</f>
      </c>
      <c r="K24" s="2">
        <f>IFERROR(AVERAGE('Directivo 1'!K24,'Directivo 2'!K24,'Directivo 3'!K24,'Directivo 4'!K24,'Directivo 5'!K24),"")</f>
      </c>
      <c r="L24">
        <f>TEXTJOIN(" | ",TRUE,'Directivo 1'!L24,'Directivo 2'!L24,'Directivo 3'!L24,'Directivo 4'!L24,'Directivo 5'!L24)</f>
      </c>
    </row>
    <row r="25">
      <c r="A25" t="inlineStr">
        <is>
          <t>MARCELO</t>
        </is>
      </c>
      <c r="B25" t="inlineStr">
        <is>
          <t>MED/LAT</t>
        </is>
      </c>
      <c r="C25" t="inlineStr">
        <is>
          <t>lento</t>
        </is>
      </c>
      <c r="D25" s="2">
        <f>IFERROR(AVERAGE('Directivo 1'!D25,'Directivo 2'!D25,'Directivo 3'!D25,'Directivo 4'!D25,'Directivo 5'!D25),"")</f>
      </c>
      <c r="E25" s="2">
        <f>IFERROR(AVERAGE('Directivo 1'!E25,'Directivo 2'!E25,'Directivo 3'!E25,'Directivo 4'!E25,'Directivo 5'!E25),"")</f>
      </c>
      <c r="F25" s="2">
        <f>IFERROR(AVERAGE('Directivo 1'!F25,'Directivo 2'!F25,'Directivo 3'!F25,'Directivo 4'!F25,'Directivo 5'!F25),"")</f>
      </c>
      <c r="G25" s="2">
        <f>IFERROR(AVERAGE('Directivo 1'!G25,'Directivo 2'!G25,'Directivo 3'!G25,'Directivo 4'!G25,'Directivo 5'!G25),"")</f>
      </c>
      <c r="H25" s="2">
        <f>IFERROR(AVERAGE('Directivo 1'!H25,'Directivo 2'!H25,'Directivo 3'!H25,'Directivo 4'!H25,'Directivo 5'!H25),"")</f>
      </c>
      <c r="I25" s="2">
        <f>IFERROR(AVERAGE('Directivo 1'!I25,'Directivo 2'!I25,'Directivo 3'!I25,'Directivo 4'!I25,'Directivo 5'!I25),"")</f>
      </c>
      <c r="J25" s="2">
        <f>IFERROR(AVERAGE('Directivo 1'!J25,'Directivo 2'!J25,'Directivo 3'!J25,'Directivo 4'!J25,'Directivo 5'!J25),"")</f>
      </c>
      <c r="K25" s="2">
        <f>IFERROR(AVERAGE('Directivo 1'!K25,'Directivo 2'!K25,'Directivo 3'!K25,'Directivo 4'!K25,'Directivo 5'!K25),"")</f>
      </c>
      <c r="L25">
        <f>TEXTJOIN(" | ",TRUE,'Directivo 1'!L25,'Directivo 2'!L25,'Directivo 3'!L25,'Directivo 4'!L25,'Directivo 5'!L25)</f>
      </c>
    </row>
    <row r="26">
      <c r="A26" t="inlineStr">
        <is>
          <t>MARIAN</t>
        </is>
      </c>
      <c r="B26" t="inlineStr">
        <is>
          <t>DEL/MED</t>
        </is>
      </c>
      <c r="C26" t="inlineStr">
        <is>
          <t>lento</t>
        </is>
      </c>
      <c r="D26" s="2">
        <f>IFERROR(AVERAGE('Directivo 1'!D26,'Directivo 2'!D26,'Directivo 3'!D26,'Directivo 4'!D26,'Directivo 5'!D26),"")</f>
      </c>
      <c r="E26" s="2">
        <f>IFERROR(AVERAGE('Directivo 1'!E26,'Directivo 2'!E26,'Directivo 3'!E26,'Directivo 4'!E26,'Directivo 5'!E26),"")</f>
      </c>
      <c r="F26" s="2">
        <f>IFERROR(AVERAGE('Directivo 1'!F26,'Directivo 2'!F26,'Directivo 3'!F26,'Directivo 4'!F26,'Directivo 5'!F26),"")</f>
      </c>
      <c r="G26" s="2">
        <f>IFERROR(AVERAGE('Directivo 1'!G26,'Directivo 2'!G26,'Directivo 3'!G26,'Directivo 4'!G26,'Directivo 5'!G26),"")</f>
      </c>
      <c r="H26" s="2">
        <f>IFERROR(AVERAGE('Directivo 1'!H26,'Directivo 2'!H26,'Directivo 3'!H26,'Directivo 4'!H26,'Directivo 5'!H26),"")</f>
      </c>
      <c r="I26" s="2">
        <f>IFERROR(AVERAGE('Directivo 1'!I26,'Directivo 2'!I26,'Directivo 3'!I26,'Directivo 4'!I26,'Directivo 5'!I26),"")</f>
      </c>
      <c r="J26" s="2">
        <f>IFERROR(AVERAGE('Directivo 1'!J26,'Directivo 2'!J26,'Directivo 3'!J26,'Directivo 4'!J26,'Directivo 5'!J26),"")</f>
      </c>
      <c r="K26" s="2">
        <f>IFERROR(AVERAGE('Directivo 1'!K26,'Directivo 2'!K26,'Directivo 3'!K26,'Directivo 4'!K26,'Directivo 5'!K26),"")</f>
      </c>
      <c r="L26">
        <f>TEXTJOIN(" | ",TRUE,'Directivo 1'!L26,'Directivo 2'!L26,'Directivo 3'!L26,'Directivo 4'!L26,'Directivo 5'!L26)</f>
      </c>
    </row>
    <row r="27">
      <c r="A27" t="inlineStr">
        <is>
          <t>MATI BRAIAN</t>
        </is>
      </c>
      <c r="B27" t="inlineStr">
        <is>
          <t>DEF/MED</t>
        </is>
      </c>
      <c r="C27" t="inlineStr">
        <is>
          <t>rapido</t>
        </is>
      </c>
      <c r="D27" s="2">
        <f>IFERROR(AVERAGE('Directivo 1'!D27,'Directivo 2'!D27,'Directivo 3'!D27,'Directivo 4'!D27,'Directivo 5'!D27),"")</f>
      </c>
      <c r="E27" s="2">
        <f>IFERROR(AVERAGE('Directivo 1'!E27,'Directivo 2'!E27,'Directivo 3'!E27,'Directivo 4'!E27,'Directivo 5'!E27),"")</f>
      </c>
      <c r="F27" s="2">
        <f>IFERROR(AVERAGE('Directivo 1'!F27,'Directivo 2'!F27,'Directivo 3'!F27,'Directivo 4'!F27,'Directivo 5'!F27),"")</f>
      </c>
      <c r="G27" s="2">
        <f>IFERROR(AVERAGE('Directivo 1'!G27,'Directivo 2'!G27,'Directivo 3'!G27,'Directivo 4'!G27,'Directivo 5'!G27),"")</f>
      </c>
      <c r="H27" s="2">
        <f>IFERROR(AVERAGE('Directivo 1'!H27,'Directivo 2'!H27,'Directivo 3'!H27,'Directivo 4'!H27,'Directivo 5'!H27),"")</f>
      </c>
      <c r="I27" s="2">
        <f>IFERROR(AVERAGE('Directivo 1'!I27,'Directivo 2'!I27,'Directivo 3'!I27,'Directivo 4'!I27,'Directivo 5'!I27),"")</f>
      </c>
      <c r="J27" s="2">
        <f>IFERROR(AVERAGE('Directivo 1'!J27,'Directivo 2'!J27,'Directivo 3'!J27,'Directivo 4'!J27,'Directivo 5'!J27),"")</f>
      </c>
      <c r="K27" s="2">
        <f>IFERROR(AVERAGE('Directivo 1'!K27,'Directivo 2'!K27,'Directivo 3'!K27,'Directivo 4'!K27,'Directivo 5'!K27),"")</f>
      </c>
      <c r="L27">
        <f>TEXTJOIN(" | ",TRUE,'Directivo 1'!L27,'Directivo 2'!L27,'Directivo 3'!L27,'Directivo 4'!L27,'Directivo 5'!L27)</f>
      </c>
    </row>
    <row r="28">
      <c r="A28" t="inlineStr">
        <is>
          <t>MATI ROSALES</t>
        </is>
      </c>
      <c r="B28" t="inlineStr">
        <is>
          <t>MED/LAT</t>
        </is>
      </c>
      <c r="C28" t="inlineStr">
        <is>
          <t>rapido</t>
        </is>
      </c>
      <c r="D28" s="2">
        <f>IFERROR(AVERAGE('Directivo 1'!D28,'Directivo 2'!D28,'Directivo 3'!D28,'Directivo 4'!D28,'Directivo 5'!D28),"")</f>
      </c>
      <c r="E28" s="2">
        <f>IFERROR(AVERAGE('Directivo 1'!E28,'Directivo 2'!E28,'Directivo 3'!E28,'Directivo 4'!E28,'Directivo 5'!E28),"")</f>
      </c>
      <c r="F28" s="2">
        <f>IFERROR(AVERAGE('Directivo 1'!F28,'Directivo 2'!F28,'Directivo 3'!F28,'Directivo 4'!F28,'Directivo 5'!F28),"")</f>
      </c>
      <c r="G28" s="2">
        <f>IFERROR(AVERAGE('Directivo 1'!G28,'Directivo 2'!G28,'Directivo 3'!G28,'Directivo 4'!G28,'Directivo 5'!G28),"")</f>
      </c>
      <c r="H28" s="2">
        <f>IFERROR(AVERAGE('Directivo 1'!H28,'Directivo 2'!H28,'Directivo 3'!H28,'Directivo 4'!H28,'Directivo 5'!H28),"")</f>
      </c>
      <c r="I28" s="2">
        <f>IFERROR(AVERAGE('Directivo 1'!I28,'Directivo 2'!I28,'Directivo 3'!I28,'Directivo 4'!I28,'Directivo 5'!I28),"")</f>
      </c>
      <c r="J28" s="2">
        <f>IFERROR(AVERAGE('Directivo 1'!J28,'Directivo 2'!J28,'Directivo 3'!J28,'Directivo 4'!J28,'Directivo 5'!J28),"")</f>
      </c>
      <c r="K28" s="2">
        <f>IFERROR(AVERAGE('Directivo 1'!K28,'Directivo 2'!K28,'Directivo 3'!K28,'Directivo 4'!K28,'Directivo 5'!K28),"")</f>
      </c>
      <c r="L28">
        <f>TEXTJOIN(" | ",TRUE,'Directivo 1'!L28,'Directivo 2'!L28,'Directivo 3'!L28,'Directivo 4'!L28,'Directivo 5'!L28)</f>
      </c>
    </row>
    <row r="29">
      <c r="A29" t="inlineStr">
        <is>
          <t>MAURI</t>
        </is>
      </c>
      <c r="B29" t="inlineStr">
        <is>
          <t>DEL</t>
        </is>
      </c>
      <c r="C29" t="inlineStr">
        <is>
          <t>rapido</t>
        </is>
      </c>
      <c r="D29" s="2">
        <f>IFERROR(AVERAGE('Directivo 1'!D29,'Directivo 2'!D29,'Directivo 3'!D29,'Directivo 4'!D29,'Directivo 5'!D29),"")</f>
      </c>
      <c r="E29" s="2">
        <f>IFERROR(AVERAGE('Directivo 1'!E29,'Directivo 2'!E29,'Directivo 3'!E29,'Directivo 4'!E29,'Directivo 5'!E29),"")</f>
      </c>
      <c r="F29" s="2">
        <f>IFERROR(AVERAGE('Directivo 1'!F29,'Directivo 2'!F29,'Directivo 3'!F29,'Directivo 4'!F29,'Directivo 5'!F29),"")</f>
      </c>
      <c r="G29" s="2">
        <f>IFERROR(AVERAGE('Directivo 1'!G29,'Directivo 2'!G29,'Directivo 3'!G29,'Directivo 4'!G29,'Directivo 5'!G29),"")</f>
      </c>
      <c r="H29" s="2">
        <f>IFERROR(AVERAGE('Directivo 1'!H29,'Directivo 2'!H29,'Directivo 3'!H29,'Directivo 4'!H29,'Directivo 5'!H29),"")</f>
      </c>
      <c r="I29" s="2">
        <f>IFERROR(AVERAGE('Directivo 1'!I29,'Directivo 2'!I29,'Directivo 3'!I29,'Directivo 4'!I29,'Directivo 5'!I29),"")</f>
      </c>
      <c r="J29" s="2">
        <f>IFERROR(AVERAGE('Directivo 1'!J29,'Directivo 2'!J29,'Directivo 3'!J29,'Directivo 4'!J29,'Directivo 5'!J29),"")</f>
      </c>
      <c r="K29" s="2">
        <f>IFERROR(AVERAGE('Directivo 1'!K29,'Directivo 2'!K29,'Directivo 3'!K29,'Directivo 4'!K29,'Directivo 5'!K29),"")</f>
      </c>
      <c r="L29">
        <f>TEXTJOIN(" | ",TRUE,'Directivo 1'!L29,'Directivo 2'!L29,'Directivo 3'!L29,'Directivo 4'!L29,'Directivo 5'!L29)</f>
      </c>
    </row>
    <row r="30">
      <c r="A30" t="inlineStr">
        <is>
          <t>MAXI</t>
        </is>
      </c>
      <c r="B30" t="inlineStr">
        <is>
          <t>MED</t>
        </is>
      </c>
      <c r="C30" t="inlineStr">
        <is>
          <t>lento</t>
        </is>
      </c>
      <c r="D30" s="2">
        <f>IFERROR(AVERAGE('Directivo 1'!D30,'Directivo 2'!D30,'Directivo 3'!D30,'Directivo 4'!D30,'Directivo 5'!D30),"")</f>
      </c>
      <c r="E30" s="2">
        <f>IFERROR(AVERAGE('Directivo 1'!E30,'Directivo 2'!E30,'Directivo 3'!E30,'Directivo 4'!E30,'Directivo 5'!E30),"")</f>
      </c>
      <c r="F30" s="2">
        <f>IFERROR(AVERAGE('Directivo 1'!F30,'Directivo 2'!F30,'Directivo 3'!F30,'Directivo 4'!F30,'Directivo 5'!F30),"")</f>
      </c>
      <c r="G30" s="2">
        <f>IFERROR(AVERAGE('Directivo 1'!G30,'Directivo 2'!G30,'Directivo 3'!G30,'Directivo 4'!G30,'Directivo 5'!G30),"")</f>
      </c>
      <c r="H30" s="2">
        <f>IFERROR(AVERAGE('Directivo 1'!H30,'Directivo 2'!H30,'Directivo 3'!H30,'Directivo 4'!H30,'Directivo 5'!H30),"")</f>
      </c>
      <c r="I30" s="2">
        <f>IFERROR(AVERAGE('Directivo 1'!I30,'Directivo 2'!I30,'Directivo 3'!I30,'Directivo 4'!I30,'Directivo 5'!I30),"")</f>
      </c>
      <c r="J30" s="2">
        <f>IFERROR(AVERAGE('Directivo 1'!J30,'Directivo 2'!J30,'Directivo 3'!J30,'Directivo 4'!J30,'Directivo 5'!J30),"")</f>
      </c>
      <c r="K30" s="2">
        <f>IFERROR(AVERAGE('Directivo 1'!K30,'Directivo 2'!K30,'Directivo 3'!K30,'Directivo 4'!K30,'Directivo 5'!K30),"")</f>
      </c>
      <c r="L30">
        <f>TEXTJOIN(" | ",TRUE,'Directivo 1'!L30,'Directivo 2'!L30,'Directivo 3'!L30,'Directivo 4'!L30,'Directivo 5'!L30)</f>
      </c>
    </row>
    <row r="31">
      <c r="A31" t="inlineStr">
        <is>
          <t>NICO</t>
        </is>
      </c>
      <c r="B31" t="inlineStr">
        <is>
          <t>MED/LAT</t>
        </is>
      </c>
      <c r="C31" t="inlineStr">
        <is>
          <t>rapido</t>
        </is>
      </c>
      <c r="D31" s="2">
        <f>IFERROR(AVERAGE('Directivo 1'!D31,'Directivo 2'!D31,'Directivo 3'!D31,'Directivo 4'!D31,'Directivo 5'!D31),"")</f>
      </c>
      <c r="E31" s="2">
        <f>IFERROR(AVERAGE('Directivo 1'!E31,'Directivo 2'!E31,'Directivo 3'!E31,'Directivo 4'!E31,'Directivo 5'!E31),"")</f>
      </c>
      <c r="F31" s="2">
        <f>IFERROR(AVERAGE('Directivo 1'!F31,'Directivo 2'!F31,'Directivo 3'!F31,'Directivo 4'!F31,'Directivo 5'!F31),"")</f>
      </c>
      <c r="G31" s="2">
        <f>IFERROR(AVERAGE('Directivo 1'!G31,'Directivo 2'!G31,'Directivo 3'!G31,'Directivo 4'!G31,'Directivo 5'!G31),"")</f>
      </c>
      <c r="H31" s="2">
        <f>IFERROR(AVERAGE('Directivo 1'!H31,'Directivo 2'!H31,'Directivo 3'!H31,'Directivo 4'!H31,'Directivo 5'!H31),"")</f>
      </c>
      <c r="I31" s="2">
        <f>IFERROR(AVERAGE('Directivo 1'!I31,'Directivo 2'!I31,'Directivo 3'!I31,'Directivo 4'!I31,'Directivo 5'!I31),"")</f>
      </c>
      <c r="J31" s="2">
        <f>IFERROR(AVERAGE('Directivo 1'!J31,'Directivo 2'!J31,'Directivo 3'!J31,'Directivo 4'!J31,'Directivo 5'!J31),"")</f>
      </c>
      <c r="K31" s="2">
        <f>IFERROR(AVERAGE('Directivo 1'!K31,'Directivo 2'!K31,'Directivo 3'!K31,'Directivo 4'!K31,'Directivo 5'!K31),"")</f>
      </c>
      <c r="L31">
        <f>TEXTJOIN(" | ",TRUE,'Directivo 1'!L31,'Directivo 2'!L31,'Directivo 3'!L31,'Directivo 4'!L31,'Directivo 5'!L31)</f>
      </c>
    </row>
    <row r="32">
      <c r="A32" t="inlineStr">
        <is>
          <t>PABLO</t>
        </is>
      </c>
      <c r="B32" t="inlineStr">
        <is>
          <t>DEF/LAT</t>
        </is>
      </c>
      <c r="C32" t="inlineStr">
        <is>
          <t>rapido</t>
        </is>
      </c>
      <c r="D32" s="2">
        <f>IFERROR(AVERAGE('Directivo 1'!D32,'Directivo 2'!D32,'Directivo 3'!D32,'Directivo 4'!D32,'Directivo 5'!D32),"")</f>
      </c>
      <c r="E32" s="2">
        <f>IFERROR(AVERAGE('Directivo 1'!E32,'Directivo 2'!E32,'Directivo 3'!E32,'Directivo 4'!E32,'Directivo 5'!E32),"")</f>
      </c>
      <c r="F32" s="2">
        <f>IFERROR(AVERAGE('Directivo 1'!F32,'Directivo 2'!F32,'Directivo 3'!F32,'Directivo 4'!F32,'Directivo 5'!F32),"")</f>
      </c>
      <c r="G32" s="2">
        <f>IFERROR(AVERAGE('Directivo 1'!G32,'Directivo 2'!G32,'Directivo 3'!G32,'Directivo 4'!G32,'Directivo 5'!G32),"")</f>
      </c>
      <c r="H32" s="2">
        <f>IFERROR(AVERAGE('Directivo 1'!H32,'Directivo 2'!H32,'Directivo 3'!H32,'Directivo 4'!H32,'Directivo 5'!H32),"")</f>
      </c>
      <c r="I32" s="2">
        <f>IFERROR(AVERAGE('Directivo 1'!I32,'Directivo 2'!I32,'Directivo 3'!I32,'Directivo 4'!I32,'Directivo 5'!I32),"")</f>
      </c>
      <c r="J32" s="2">
        <f>IFERROR(AVERAGE('Directivo 1'!J32,'Directivo 2'!J32,'Directivo 3'!J32,'Directivo 4'!J32,'Directivo 5'!J32),"")</f>
      </c>
      <c r="K32" s="2">
        <f>IFERROR(AVERAGE('Directivo 1'!K32,'Directivo 2'!K32,'Directivo 3'!K32,'Directivo 4'!K32,'Directivo 5'!K32),"")</f>
      </c>
      <c r="L32">
        <f>TEXTJOIN(" | ",TRUE,'Directivo 1'!L32,'Directivo 2'!L32,'Directivo 3'!L32,'Directivo 4'!L32,'Directivo 5'!L32)</f>
      </c>
    </row>
    <row r="33">
      <c r="A33" t="inlineStr">
        <is>
          <t>PABLO CASTILLO</t>
        </is>
      </c>
      <c r="B33" t="inlineStr">
        <is>
          <t>LAT/MED</t>
        </is>
      </c>
      <c r="C33" t="inlineStr">
        <is>
          <t>lento</t>
        </is>
      </c>
      <c r="D33" s="2">
        <f>IFERROR(AVERAGE('Directivo 1'!D33,'Directivo 2'!D33,'Directivo 3'!D33,'Directivo 4'!D33,'Directivo 5'!D33),"")</f>
      </c>
      <c r="E33" s="2">
        <f>IFERROR(AVERAGE('Directivo 1'!E33,'Directivo 2'!E33,'Directivo 3'!E33,'Directivo 4'!E33,'Directivo 5'!E33),"")</f>
      </c>
      <c r="F33" s="2">
        <f>IFERROR(AVERAGE('Directivo 1'!F33,'Directivo 2'!F33,'Directivo 3'!F33,'Directivo 4'!F33,'Directivo 5'!F33),"")</f>
      </c>
      <c r="G33" s="2">
        <f>IFERROR(AVERAGE('Directivo 1'!G33,'Directivo 2'!G33,'Directivo 3'!G33,'Directivo 4'!G33,'Directivo 5'!G33),"")</f>
      </c>
      <c r="H33" s="2">
        <f>IFERROR(AVERAGE('Directivo 1'!H33,'Directivo 2'!H33,'Directivo 3'!H33,'Directivo 4'!H33,'Directivo 5'!H33),"")</f>
      </c>
      <c r="I33" s="2">
        <f>IFERROR(AVERAGE('Directivo 1'!I33,'Directivo 2'!I33,'Directivo 3'!I33,'Directivo 4'!I33,'Directivo 5'!I33),"")</f>
      </c>
      <c r="J33" s="2">
        <f>IFERROR(AVERAGE('Directivo 1'!J33,'Directivo 2'!J33,'Directivo 3'!J33,'Directivo 4'!J33,'Directivo 5'!J33),"")</f>
      </c>
      <c r="K33" s="2">
        <f>IFERROR(AVERAGE('Directivo 1'!K33,'Directivo 2'!K33,'Directivo 3'!K33,'Directivo 4'!K33,'Directivo 5'!K33),"")</f>
      </c>
      <c r="L33">
        <f>TEXTJOIN(" | ",TRUE,'Directivo 1'!L33,'Directivo 2'!L33,'Directivo 3'!L33,'Directivo 4'!L33,'Directivo 5'!L33)</f>
      </c>
    </row>
    <row r="34">
      <c r="A34" t="inlineStr">
        <is>
          <t>PABLO GARCIA</t>
        </is>
      </c>
      <c r="B34" t="inlineStr">
        <is>
          <t>MED/LAT</t>
        </is>
      </c>
      <c r="C34" t="inlineStr">
        <is>
          <t>rapido</t>
        </is>
      </c>
      <c r="D34" s="2">
        <f>IFERROR(AVERAGE('Directivo 1'!D34,'Directivo 2'!D34,'Directivo 3'!D34,'Directivo 4'!D34,'Directivo 5'!D34),"")</f>
      </c>
      <c r="E34" s="2">
        <f>IFERROR(AVERAGE('Directivo 1'!E34,'Directivo 2'!E34,'Directivo 3'!E34,'Directivo 4'!E34,'Directivo 5'!E34),"")</f>
      </c>
      <c r="F34" s="2">
        <f>IFERROR(AVERAGE('Directivo 1'!F34,'Directivo 2'!F34,'Directivo 3'!F34,'Directivo 4'!F34,'Directivo 5'!F34),"")</f>
      </c>
      <c r="G34" s="2">
        <f>IFERROR(AVERAGE('Directivo 1'!G34,'Directivo 2'!G34,'Directivo 3'!G34,'Directivo 4'!G34,'Directivo 5'!G34),"")</f>
      </c>
      <c r="H34" s="2">
        <f>IFERROR(AVERAGE('Directivo 1'!H34,'Directivo 2'!H34,'Directivo 3'!H34,'Directivo 4'!H34,'Directivo 5'!H34),"")</f>
      </c>
      <c r="I34" s="2">
        <f>IFERROR(AVERAGE('Directivo 1'!I34,'Directivo 2'!I34,'Directivo 3'!I34,'Directivo 4'!I34,'Directivo 5'!I34),"")</f>
      </c>
      <c r="J34" s="2">
        <f>IFERROR(AVERAGE('Directivo 1'!J34,'Directivo 2'!J34,'Directivo 3'!J34,'Directivo 4'!J34,'Directivo 5'!J34),"")</f>
      </c>
      <c r="K34" s="2">
        <f>IFERROR(AVERAGE('Directivo 1'!K34,'Directivo 2'!K34,'Directivo 3'!K34,'Directivo 4'!K34,'Directivo 5'!K34),"")</f>
      </c>
      <c r="L34">
        <f>TEXTJOIN(" | ",TRUE,'Directivo 1'!L34,'Directivo 2'!L34,'Directivo 3'!L34,'Directivo 4'!L34,'Directivo 5'!L34)</f>
      </c>
    </row>
    <row r="35">
      <c r="A35" t="inlineStr">
        <is>
          <t>PELA</t>
        </is>
      </c>
      <c r="B35" t="inlineStr">
        <is>
          <t>DEL/MED</t>
        </is>
      </c>
      <c r="C35" t="inlineStr">
        <is>
          <t>rapido</t>
        </is>
      </c>
      <c r="D35" s="2">
        <f>IFERROR(AVERAGE('Directivo 1'!D35,'Directivo 2'!D35,'Directivo 3'!D35,'Directivo 4'!D35,'Directivo 5'!D35),"")</f>
      </c>
      <c r="E35" s="2">
        <f>IFERROR(AVERAGE('Directivo 1'!E35,'Directivo 2'!E35,'Directivo 3'!E35,'Directivo 4'!E35,'Directivo 5'!E35),"")</f>
      </c>
      <c r="F35" s="2">
        <f>IFERROR(AVERAGE('Directivo 1'!F35,'Directivo 2'!F35,'Directivo 3'!F35,'Directivo 4'!F35,'Directivo 5'!F35),"")</f>
      </c>
      <c r="G35" s="2">
        <f>IFERROR(AVERAGE('Directivo 1'!G35,'Directivo 2'!G35,'Directivo 3'!G35,'Directivo 4'!G35,'Directivo 5'!G35),"")</f>
      </c>
      <c r="H35" s="2">
        <f>IFERROR(AVERAGE('Directivo 1'!H35,'Directivo 2'!H35,'Directivo 3'!H35,'Directivo 4'!H35,'Directivo 5'!H35),"")</f>
      </c>
      <c r="I35" s="2">
        <f>IFERROR(AVERAGE('Directivo 1'!I35,'Directivo 2'!I35,'Directivo 3'!I35,'Directivo 4'!I35,'Directivo 5'!I35),"")</f>
      </c>
      <c r="J35" s="2">
        <f>IFERROR(AVERAGE('Directivo 1'!J35,'Directivo 2'!J35,'Directivo 3'!J35,'Directivo 4'!J35,'Directivo 5'!J35),"")</f>
      </c>
      <c r="K35" s="2">
        <f>IFERROR(AVERAGE('Directivo 1'!K35,'Directivo 2'!K35,'Directivo 3'!K35,'Directivo 4'!K35,'Directivo 5'!K35),"")</f>
      </c>
      <c r="L35">
        <f>TEXTJOIN(" | ",TRUE,'Directivo 1'!L35,'Directivo 2'!L35,'Directivo 3'!L35,'Directivo 4'!L35,'Directivo 5'!L35)</f>
      </c>
    </row>
    <row r="36">
      <c r="A36" t="inlineStr">
        <is>
          <t>PULY</t>
        </is>
      </c>
      <c r="B36" t="inlineStr">
        <is>
          <t>DEL/MED</t>
        </is>
      </c>
      <c r="C36" t="inlineStr">
        <is>
          <t>lento</t>
        </is>
      </c>
      <c r="D36" s="2">
        <f>IFERROR(AVERAGE('Directivo 1'!D36,'Directivo 2'!D36,'Directivo 3'!D36,'Directivo 4'!D36,'Directivo 5'!D36),"")</f>
      </c>
      <c r="E36" s="2">
        <f>IFERROR(AVERAGE('Directivo 1'!E36,'Directivo 2'!E36,'Directivo 3'!E36,'Directivo 4'!E36,'Directivo 5'!E36),"")</f>
      </c>
      <c r="F36" s="2">
        <f>IFERROR(AVERAGE('Directivo 1'!F36,'Directivo 2'!F36,'Directivo 3'!F36,'Directivo 4'!F36,'Directivo 5'!F36),"")</f>
      </c>
      <c r="G36" s="2">
        <f>IFERROR(AVERAGE('Directivo 1'!G36,'Directivo 2'!G36,'Directivo 3'!G36,'Directivo 4'!G36,'Directivo 5'!G36),"")</f>
      </c>
      <c r="H36" s="2">
        <f>IFERROR(AVERAGE('Directivo 1'!H36,'Directivo 2'!H36,'Directivo 3'!H36,'Directivo 4'!H36,'Directivo 5'!H36),"")</f>
      </c>
      <c r="I36" s="2">
        <f>IFERROR(AVERAGE('Directivo 1'!I36,'Directivo 2'!I36,'Directivo 3'!I36,'Directivo 4'!I36,'Directivo 5'!I36),"")</f>
      </c>
      <c r="J36" s="2">
        <f>IFERROR(AVERAGE('Directivo 1'!J36,'Directivo 2'!J36,'Directivo 3'!J36,'Directivo 4'!J36,'Directivo 5'!J36),"")</f>
      </c>
      <c r="K36" s="2">
        <f>IFERROR(AVERAGE('Directivo 1'!K36,'Directivo 2'!K36,'Directivo 3'!K36,'Directivo 4'!K36,'Directivo 5'!K36),"")</f>
      </c>
      <c r="L36">
        <f>TEXTJOIN(" | ",TRUE,'Directivo 1'!L36,'Directivo 2'!L36,'Directivo 3'!L36,'Directivo 4'!L36,'Directivo 5'!L36)</f>
      </c>
    </row>
    <row r="37">
      <c r="A37" t="inlineStr">
        <is>
          <t>RODRI CHAVEZ</t>
        </is>
      </c>
      <c r="B37" t="inlineStr">
        <is>
          <t>LAT/MED</t>
        </is>
      </c>
      <c r="C37" t="inlineStr">
        <is>
          <t>rapido</t>
        </is>
      </c>
      <c r="D37" s="2">
        <f>IFERROR(AVERAGE('Directivo 1'!D37,'Directivo 2'!D37,'Directivo 3'!D37,'Directivo 4'!D37,'Directivo 5'!D37),"")</f>
      </c>
      <c r="E37" s="2">
        <f>IFERROR(AVERAGE('Directivo 1'!E37,'Directivo 2'!E37,'Directivo 3'!E37,'Directivo 4'!E37,'Directivo 5'!E37),"")</f>
      </c>
      <c r="F37" s="2">
        <f>IFERROR(AVERAGE('Directivo 1'!F37,'Directivo 2'!F37,'Directivo 3'!F37,'Directivo 4'!F37,'Directivo 5'!F37),"")</f>
      </c>
      <c r="G37" s="2">
        <f>IFERROR(AVERAGE('Directivo 1'!G37,'Directivo 2'!G37,'Directivo 3'!G37,'Directivo 4'!G37,'Directivo 5'!G37),"")</f>
      </c>
      <c r="H37" s="2">
        <f>IFERROR(AVERAGE('Directivo 1'!H37,'Directivo 2'!H37,'Directivo 3'!H37,'Directivo 4'!H37,'Directivo 5'!H37),"")</f>
      </c>
      <c r="I37" s="2">
        <f>IFERROR(AVERAGE('Directivo 1'!I37,'Directivo 2'!I37,'Directivo 3'!I37,'Directivo 4'!I37,'Directivo 5'!I37),"")</f>
      </c>
      <c r="J37" s="2">
        <f>IFERROR(AVERAGE('Directivo 1'!J37,'Directivo 2'!J37,'Directivo 3'!J37,'Directivo 4'!J37,'Directivo 5'!J37),"")</f>
      </c>
      <c r="K37" s="2">
        <f>IFERROR(AVERAGE('Directivo 1'!K37,'Directivo 2'!K37,'Directivo 3'!K37,'Directivo 4'!K37,'Directivo 5'!K37),"")</f>
      </c>
      <c r="L37">
        <f>TEXTJOIN(" | ",TRUE,'Directivo 1'!L37,'Directivo 2'!L37,'Directivo 3'!L37,'Directivo 4'!L37,'Directivo 5'!L37)</f>
      </c>
    </row>
    <row r="38">
      <c r="A38" t="inlineStr">
        <is>
          <t>RODRI SUAREZ</t>
        </is>
      </c>
      <c r="B38" t="inlineStr">
        <is>
          <t>DEF/ARQ</t>
        </is>
      </c>
      <c r="C38" t="inlineStr">
        <is>
          <t>lento</t>
        </is>
      </c>
      <c r="D38" s="2">
        <f>IFERROR(AVERAGE('Directivo 1'!D38,'Directivo 2'!D38,'Directivo 3'!D38,'Directivo 4'!D38,'Directivo 5'!D38),"")</f>
      </c>
      <c r="E38" s="2">
        <f>IFERROR(AVERAGE('Directivo 1'!E38,'Directivo 2'!E38,'Directivo 3'!E38,'Directivo 4'!E38,'Directivo 5'!E38),"")</f>
      </c>
      <c r="F38" s="2">
        <f>IFERROR(AVERAGE('Directivo 1'!F38,'Directivo 2'!F38,'Directivo 3'!F38,'Directivo 4'!F38,'Directivo 5'!F38),"")</f>
      </c>
      <c r="G38" s="2">
        <f>IFERROR(AVERAGE('Directivo 1'!G38,'Directivo 2'!G38,'Directivo 3'!G38,'Directivo 4'!G38,'Directivo 5'!G38),"")</f>
      </c>
      <c r="H38" s="2">
        <f>IFERROR(AVERAGE('Directivo 1'!H38,'Directivo 2'!H38,'Directivo 3'!H38,'Directivo 4'!H38,'Directivo 5'!H38),"")</f>
      </c>
      <c r="I38" s="2">
        <f>IFERROR(AVERAGE('Directivo 1'!I38,'Directivo 2'!I38,'Directivo 3'!I38,'Directivo 4'!I38,'Directivo 5'!I38),"")</f>
      </c>
      <c r="J38" s="2">
        <f>IFERROR(AVERAGE('Directivo 1'!J38,'Directivo 2'!J38,'Directivo 3'!J38,'Directivo 4'!J38,'Directivo 5'!J38),"")</f>
      </c>
      <c r="K38" s="2">
        <f>IFERROR(AVERAGE('Directivo 1'!K38,'Directivo 2'!K38,'Directivo 3'!K38,'Directivo 4'!K38,'Directivo 5'!K38),"")</f>
      </c>
      <c r="L38">
        <f>TEXTJOIN(" | ",TRUE,'Directivo 1'!L38,'Directivo 2'!L38,'Directivo 3'!L38,'Directivo 4'!L38,'Directivo 5'!L38)</f>
      </c>
    </row>
    <row r="39">
      <c r="A39" t="inlineStr">
        <is>
          <t>SANTI</t>
        </is>
      </c>
      <c r="B39" t="inlineStr">
        <is>
          <t>ARQ/MED</t>
        </is>
      </c>
      <c r="C39" t="inlineStr">
        <is>
          <t>rapido</t>
        </is>
      </c>
      <c r="D39" s="2">
        <f>IFERROR(AVERAGE('Directivo 1'!D39,'Directivo 2'!D39,'Directivo 3'!D39,'Directivo 4'!D39,'Directivo 5'!D39),"")</f>
      </c>
      <c r="E39" s="2">
        <f>IFERROR(AVERAGE('Directivo 1'!E39,'Directivo 2'!E39,'Directivo 3'!E39,'Directivo 4'!E39,'Directivo 5'!E39),"")</f>
      </c>
      <c r="F39" s="2">
        <f>IFERROR(AVERAGE('Directivo 1'!F39,'Directivo 2'!F39,'Directivo 3'!F39,'Directivo 4'!F39,'Directivo 5'!F39),"")</f>
      </c>
      <c r="G39" s="2">
        <f>IFERROR(AVERAGE('Directivo 1'!G39,'Directivo 2'!G39,'Directivo 3'!G39,'Directivo 4'!G39,'Directivo 5'!G39),"")</f>
      </c>
      <c r="H39" s="2">
        <f>IFERROR(AVERAGE('Directivo 1'!H39,'Directivo 2'!H39,'Directivo 3'!H39,'Directivo 4'!H39,'Directivo 5'!H39),"")</f>
      </c>
      <c r="I39" s="2">
        <f>IFERROR(AVERAGE('Directivo 1'!I39,'Directivo 2'!I39,'Directivo 3'!I39,'Directivo 4'!I39,'Directivo 5'!I39),"")</f>
      </c>
      <c r="J39" s="2">
        <f>IFERROR(AVERAGE('Directivo 1'!J39,'Directivo 2'!J39,'Directivo 3'!J39,'Directivo 4'!J39,'Directivo 5'!J39),"")</f>
      </c>
      <c r="K39" s="2">
        <f>IFERROR(AVERAGE('Directivo 1'!K39,'Directivo 2'!K39,'Directivo 3'!K39,'Directivo 4'!K39,'Directivo 5'!K39),"")</f>
      </c>
      <c r="L39">
        <f>TEXTJOIN(" | ",TRUE,'Directivo 1'!L39,'Directivo 2'!L39,'Directivo 3'!L39,'Directivo 4'!L39,'Directivo 5'!L39)</f>
      </c>
    </row>
    <row r="40">
      <c r="A40" t="inlineStr">
        <is>
          <t>SEBACORTEZ</t>
        </is>
      </c>
      <c r="B40" t="inlineStr">
        <is>
          <t>DEF/ARQ</t>
        </is>
      </c>
      <c r="C40" t="inlineStr">
        <is>
          <t>lento</t>
        </is>
      </c>
      <c r="D40" s="2">
        <f>IFERROR(AVERAGE('Directivo 1'!D40,'Directivo 2'!D40,'Directivo 3'!D40,'Directivo 4'!D40,'Directivo 5'!D40),"")</f>
      </c>
      <c r="E40" s="2">
        <f>IFERROR(AVERAGE('Directivo 1'!E40,'Directivo 2'!E40,'Directivo 3'!E40,'Directivo 4'!E40,'Directivo 5'!E40),"")</f>
      </c>
      <c r="F40" s="2">
        <f>IFERROR(AVERAGE('Directivo 1'!F40,'Directivo 2'!F40,'Directivo 3'!F40,'Directivo 4'!F40,'Directivo 5'!F40),"")</f>
      </c>
      <c r="G40" s="2">
        <f>IFERROR(AVERAGE('Directivo 1'!G40,'Directivo 2'!G40,'Directivo 3'!G40,'Directivo 4'!G40,'Directivo 5'!G40),"")</f>
      </c>
      <c r="H40" s="2">
        <f>IFERROR(AVERAGE('Directivo 1'!H40,'Directivo 2'!H40,'Directivo 3'!H40,'Directivo 4'!H40,'Directivo 5'!H40),"")</f>
      </c>
      <c r="I40" s="2">
        <f>IFERROR(AVERAGE('Directivo 1'!I40,'Directivo 2'!I40,'Directivo 3'!I40,'Directivo 4'!I40,'Directivo 5'!I40),"")</f>
      </c>
      <c r="J40" s="2">
        <f>IFERROR(AVERAGE('Directivo 1'!J40,'Directivo 2'!J40,'Directivo 3'!J40,'Directivo 4'!J40,'Directivo 5'!J40),"")</f>
      </c>
      <c r="K40" s="2">
        <f>IFERROR(AVERAGE('Directivo 1'!K40,'Directivo 2'!K40,'Directivo 3'!K40,'Directivo 4'!K40,'Directivo 5'!K40),"")</f>
      </c>
      <c r="L40">
        <f>TEXTJOIN(" | ",TRUE,'Directivo 1'!L40,'Directivo 2'!L40,'Directivo 3'!L40,'Directivo 4'!L40,'Directivo 5'!L40)</f>
      </c>
    </row>
    <row r="41">
      <c r="A41" t="inlineStr">
        <is>
          <t>TEBO</t>
        </is>
      </c>
      <c r="B41" t="inlineStr">
        <is>
          <t>MED/DEL</t>
        </is>
      </c>
      <c r="C41" t="inlineStr">
        <is>
          <t>rapido</t>
        </is>
      </c>
      <c r="D41" s="2">
        <f>IFERROR(AVERAGE('Directivo 1'!D41,'Directivo 2'!D41,'Directivo 3'!D41,'Directivo 4'!D41,'Directivo 5'!D41),"")</f>
      </c>
      <c r="E41" s="2">
        <f>IFERROR(AVERAGE('Directivo 1'!E41,'Directivo 2'!E41,'Directivo 3'!E41,'Directivo 4'!E41,'Directivo 5'!E41),"")</f>
      </c>
      <c r="F41" s="2">
        <f>IFERROR(AVERAGE('Directivo 1'!F41,'Directivo 2'!F41,'Directivo 3'!F41,'Directivo 4'!F41,'Directivo 5'!F41),"")</f>
      </c>
      <c r="G41" s="2">
        <f>IFERROR(AVERAGE('Directivo 1'!G41,'Directivo 2'!G41,'Directivo 3'!G41,'Directivo 4'!G41,'Directivo 5'!G41),"")</f>
      </c>
      <c r="H41" s="2">
        <f>IFERROR(AVERAGE('Directivo 1'!H41,'Directivo 2'!H41,'Directivo 3'!H41,'Directivo 4'!H41,'Directivo 5'!H41),"")</f>
      </c>
      <c r="I41" s="2">
        <f>IFERROR(AVERAGE('Directivo 1'!I41,'Directivo 2'!I41,'Directivo 3'!I41,'Directivo 4'!I41,'Directivo 5'!I41),"")</f>
      </c>
      <c r="J41" s="2">
        <f>IFERROR(AVERAGE('Directivo 1'!J41,'Directivo 2'!J41,'Directivo 3'!J41,'Directivo 4'!J41,'Directivo 5'!J41),"")</f>
      </c>
      <c r="K41" s="2">
        <f>IFERROR(AVERAGE('Directivo 1'!K41,'Directivo 2'!K41,'Directivo 3'!K41,'Directivo 4'!K41,'Directivo 5'!K41),"")</f>
      </c>
      <c r="L41">
        <f>TEXTJOIN(" | ",TRUE,'Directivo 1'!L41,'Directivo 2'!L41,'Directivo 3'!L41,'Directivo 4'!L41,'Directivo 5'!L41)</f>
      </c>
    </row>
    <row r="42">
      <c r="A42" t="inlineStr">
        <is>
          <t>VICTOR</t>
        </is>
      </c>
      <c r="B42" t="inlineStr">
        <is>
          <t>DEF/LAT</t>
        </is>
      </c>
      <c r="C42" t="inlineStr">
        <is>
          <t>rapido</t>
        </is>
      </c>
      <c r="D42" s="2">
        <f>IFERROR(AVERAGE('Directivo 1'!D42,'Directivo 2'!D42,'Directivo 3'!D42,'Directivo 4'!D42,'Directivo 5'!D42),"")</f>
      </c>
      <c r="E42" s="2">
        <f>IFERROR(AVERAGE('Directivo 1'!E42,'Directivo 2'!E42,'Directivo 3'!E42,'Directivo 4'!E42,'Directivo 5'!E42),"")</f>
      </c>
      <c r="F42" s="2">
        <f>IFERROR(AVERAGE('Directivo 1'!F42,'Directivo 2'!F42,'Directivo 3'!F42,'Directivo 4'!F42,'Directivo 5'!F42),"")</f>
      </c>
      <c r="G42" s="2">
        <f>IFERROR(AVERAGE('Directivo 1'!G42,'Directivo 2'!G42,'Directivo 3'!G42,'Directivo 4'!G42,'Directivo 5'!G42),"")</f>
      </c>
      <c r="H42" s="2">
        <f>IFERROR(AVERAGE('Directivo 1'!H42,'Directivo 2'!H42,'Directivo 3'!H42,'Directivo 4'!H42,'Directivo 5'!H42),"")</f>
      </c>
      <c r="I42" s="2">
        <f>IFERROR(AVERAGE('Directivo 1'!I42,'Directivo 2'!I42,'Directivo 3'!I42,'Directivo 4'!I42,'Directivo 5'!I42),"")</f>
      </c>
      <c r="J42" s="2">
        <f>IFERROR(AVERAGE('Directivo 1'!J42,'Directivo 2'!J42,'Directivo 3'!J42,'Directivo 4'!J42,'Directivo 5'!J42),"")</f>
      </c>
      <c r="K42" s="2">
        <f>IFERROR(AVERAGE('Directivo 1'!K42,'Directivo 2'!K42,'Directivo 3'!K42,'Directivo 4'!K42,'Directivo 5'!K42),"")</f>
      </c>
      <c r="L42">
        <f>TEXTJOIN(" | ",TRUE,'Directivo 1'!L42,'Directivo 2'!L42,'Directivo 3'!L42,'Directivo 4'!L42,'Directivo 5'!L42)</f>
      </c>
    </row>
    <row r="43">
      <c r="A43" t="inlineStr">
        <is>
          <t>VIKINGO</t>
        </is>
      </c>
      <c r="B43" t="inlineStr">
        <is>
          <t>MED/LAT</t>
        </is>
      </c>
      <c r="C43" t="inlineStr">
        <is>
          <t>rapido</t>
        </is>
      </c>
      <c r="D43" s="2">
        <f>IFERROR(AVERAGE('Directivo 1'!D43,'Directivo 2'!D43,'Directivo 3'!D43,'Directivo 4'!D43,'Directivo 5'!D43),"")</f>
      </c>
      <c r="E43" s="2">
        <f>IFERROR(AVERAGE('Directivo 1'!E43,'Directivo 2'!E43,'Directivo 3'!E43,'Directivo 4'!E43,'Directivo 5'!E43),"")</f>
      </c>
      <c r="F43" s="2">
        <f>IFERROR(AVERAGE('Directivo 1'!F43,'Directivo 2'!F43,'Directivo 3'!F43,'Directivo 4'!F43,'Directivo 5'!F43),"")</f>
      </c>
      <c r="G43" s="2">
        <f>IFERROR(AVERAGE('Directivo 1'!G43,'Directivo 2'!G43,'Directivo 3'!G43,'Directivo 4'!G43,'Directivo 5'!G43),"")</f>
      </c>
      <c r="H43" s="2">
        <f>IFERROR(AVERAGE('Directivo 1'!H43,'Directivo 2'!H43,'Directivo 3'!H43,'Directivo 4'!H43,'Directivo 5'!H43),"")</f>
      </c>
      <c r="I43" s="2">
        <f>IFERROR(AVERAGE('Directivo 1'!I43,'Directivo 2'!I43,'Directivo 3'!I43,'Directivo 4'!I43,'Directivo 5'!I43),"")</f>
      </c>
      <c r="J43" s="2">
        <f>IFERROR(AVERAGE('Directivo 1'!J43,'Directivo 2'!J43,'Directivo 3'!J43,'Directivo 4'!J43,'Directivo 5'!J43),"")</f>
      </c>
      <c r="K43" s="2">
        <f>IFERROR(AVERAGE('Directivo 1'!K43,'Directivo 2'!K43,'Directivo 3'!K43,'Directivo 4'!K43,'Directivo 5'!K43),"")</f>
      </c>
      <c r="L43">
        <f>TEXTJOIN(" | ",TRUE,'Directivo 1'!L43,'Directivo 2'!L43,'Directivo 3'!L43,'Directivo 4'!L43,'Directivo 5'!L43)</f>
      </c>
    </row>
  </sheetData>
  <autoFilter ref="A1:L4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3"/>
  <sheetViews>
    <sheetView workbookViewId="0">
      <pane ySplit="1" topLeftCell="A2" activePane="bottomLeft" state="frozen"/>
    </sheetView>
  </sheetViews>
  <cols>
    <col min="1" max="1" width="24" customWidth="1"/>
    <col min="2" max="2" width="13" customWidth="1"/>
    <col min="3" max="3" width="12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2" customWidth="1"/>
    <col min="10" max="10" width="12" customWidth="1"/>
    <col min="11" max="11" width="10" customWidth="1"/>
    <col min="12" max="12" width="28" customWidth="1"/>
  </cols>
  <sheetData>
    <row r="1">
      <c r="A1" t="inlineStr" s="1">
        <is>
          <t>Nombre jugador</t>
        </is>
      </c>
      <c r="B1" t="inlineStr" s="1">
        <is>
          <t>Posiciones</t>
        </is>
      </c>
      <c r="C1" t="inlineStr" s="1">
        <is>
          <t>Ritmo base</t>
        </is>
      </c>
      <c r="D1" t="inlineStr" s="1">
        <is>
          <t>Ataque</t>
        </is>
      </c>
      <c r="E1" t="inlineStr" s="1">
        <is>
          <t>Solidez</t>
        </is>
      </c>
      <c r="F1" t="inlineStr" s="1">
        <is>
          <t>Tecnica</t>
        </is>
      </c>
      <c r="G1" t="inlineStr" s="1">
        <is>
          <t>Ritmo</t>
        </is>
      </c>
      <c r="H1" t="inlineStr" s="1">
        <is>
          <t>Equipo</t>
        </is>
      </c>
      <c r="I1" t="inlineStr" s="1">
        <is>
          <t>Mentalidad</t>
        </is>
      </c>
      <c r="J1" t="inlineStr" s="1">
        <is>
          <t>Regularidad</t>
        </is>
      </c>
      <c r="K1" t="inlineStr" s="1">
        <is>
          <t>Arquero</t>
        </is>
      </c>
      <c r="L1" t="inlineStr" s="1">
        <is>
          <t>Comentarios</t>
        </is>
      </c>
    </row>
    <row r="2">
      <c r="A2" t="inlineStr">
        <is>
          <t>ALE CUERVO</t>
        </is>
      </c>
      <c r="B2" t="inlineStr">
        <is>
          <t>LAT/MED</t>
        </is>
      </c>
      <c r="C2" t="inlineStr">
        <is>
          <t>lento</t>
        </is>
      </c>
      <c r="D2" s="2">
        <v>2.8</v>
      </c>
      <c r="E2" s="2">
        <v>2.6</v>
      </c>
      <c r="F2" s="2">
        <v>3.3</v>
      </c>
      <c r="G2" s="2">
        <v>3.0</v>
      </c>
      <c r="H2" s="2">
        <v>3.0</v>
      </c>
      <c r="I2" s="2">
        <v>2.2</v>
      </c>
      <c r="J2" s="2">
        <v>2.8</v>
      </c>
      <c r="K2" s="2">
        <v>3.6</v>
      </c>
      <c r="L2"/>
    </row>
    <row r="3">
      <c r="A3" t="inlineStr">
        <is>
          <t>ALEXIS</t>
        </is>
      </c>
      <c r="B3" t="inlineStr">
        <is>
          <t>LAT/MED</t>
        </is>
      </c>
      <c r="C3" t="inlineStr">
        <is>
          <t>rapido</t>
        </is>
      </c>
      <c r="D3" s="2">
        <v>3.6</v>
      </c>
      <c r="E3" s="2">
        <v>3.6</v>
      </c>
      <c r="F3" s="2">
        <v>3.9</v>
      </c>
      <c r="G3" s="2">
        <v>4.8</v>
      </c>
      <c r="H3" s="2">
        <v>3.3</v>
      </c>
      <c r="I3" s="2">
        <v>4.3</v>
      </c>
      <c r="J3" s="2">
        <v>4.8</v>
      </c>
      <c r="K3" s="2">
        <v>3.3</v>
      </c>
      <c r="L3"/>
    </row>
    <row r="4">
      <c r="A4" t="inlineStr">
        <is>
          <t>ANIBAL</t>
        </is>
      </c>
      <c r="B4" t="inlineStr">
        <is>
          <t>DEL</t>
        </is>
      </c>
      <c r="C4" t="inlineStr">
        <is>
          <t>lento</t>
        </is>
      </c>
      <c r="D4" s="2">
        <v>3.7</v>
      </c>
      <c r="E4" s="2">
        <v>1.8</v>
      </c>
      <c r="F4" s="2">
        <v>3.6</v>
      </c>
      <c r="G4" s="2">
        <v>1.4</v>
      </c>
      <c r="H4" s="2">
        <v>1.8</v>
      </c>
      <c r="I4" s="2">
        <v>2.2</v>
      </c>
      <c r="J4" s="2">
        <v>2.8</v>
      </c>
      <c r="K4" s="2">
        <v>4.3</v>
      </c>
      <c r="L4"/>
    </row>
    <row r="5">
      <c r="A5" t="inlineStr">
        <is>
          <t>AUGUSTO</t>
        </is>
      </c>
      <c r="B5" t="inlineStr">
        <is>
          <t>MED/LAT</t>
        </is>
      </c>
      <c r="C5" t="inlineStr">
        <is>
          <t>rapido</t>
        </is>
      </c>
      <c r="D5" s="2">
        <v>3.7</v>
      </c>
      <c r="E5" s="2">
        <v>3.3</v>
      </c>
      <c r="F5" s="2">
        <v>4.3</v>
      </c>
      <c r="G5" s="2">
        <v>4.3</v>
      </c>
      <c r="H5" s="2">
        <v>3.9</v>
      </c>
      <c r="I5" s="2">
        <v>2.8</v>
      </c>
      <c r="J5" s="2">
        <v>2.6</v>
      </c>
      <c r="K5" s="2">
        <v>3.6</v>
      </c>
      <c r="L5"/>
    </row>
    <row r="6">
      <c r="A6" t="inlineStr">
        <is>
          <t>BETO</t>
        </is>
      </c>
      <c r="B6" t="inlineStr">
        <is>
          <t>DEL/MED</t>
        </is>
      </c>
      <c r="C6" t="inlineStr">
        <is>
          <t>lento</t>
        </is>
      </c>
      <c r="D6" s="2">
        <v>3.7</v>
      </c>
      <c r="E6" s="2">
        <v>1.8</v>
      </c>
      <c r="F6" s="2">
        <v>3.6</v>
      </c>
      <c r="G6" s="2">
        <v>2.2</v>
      </c>
      <c r="H6" s="2">
        <v>3.0</v>
      </c>
      <c r="I6" s="2">
        <v>3.6</v>
      </c>
      <c r="J6" s="2">
        <v>4.0</v>
      </c>
      <c r="K6" s="2">
        <v>3.3</v>
      </c>
      <c r="L6"/>
    </row>
    <row r="7">
      <c r="A7" t="inlineStr">
        <is>
          <t>BRIAN</t>
        </is>
      </c>
      <c r="B7" t="inlineStr">
        <is>
          <t>DEL/MED</t>
        </is>
      </c>
      <c r="C7" t="inlineStr">
        <is>
          <t>rapido</t>
        </is>
      </c>
      <c r="D7" s="2">
        <v>5.4</v>
      </c>
      <c r="E7" s="2">
        <v>3.9</v>
      </c>
      <c r="F7" s="2">
        <v>5.4</v>
      </c>
      <c r="G7" s="2">
        <v>3.9</v>
      </c>
      <c r="H7" s="2">
        <v>4.3</v>
      </c>
      <c r="I7" s="2">
        <v>2.8</v>
      </c>
      <c r="J7" s="2">
        <v>4.8</v>
      </c>
      <c r="K7" s="2"/>
      <c r="L7"/>
    </row>
    <row r="8">
      <c r="A8" t="inlineStr">
        <is>
          <t>CAMILO</t>
        </is>
      </c>
      <c r="B8" t="inlineStr">
        <is>
          <t>MED/DEL</t>
        </is>
      </c>
      <c r="C8" t="inlineStr">
        <is>
          <t>rapido</t>
        </is>
      </c>
      <c r="D8" s="2">
        <v>3.9</v>
      </c>
      <c r="E8" s="2">
        <v>3.0</v>
      </c>
      <c r="F8" s="2">
        <v>5.0</v>
      </c>
      <c r="G8" s="2">
        <v>4.3</v>
      </c>
      <c r="H8" s="2">
        <v>4.0</v>
      </c>
      <c r="I8" s="2">
        <v>4.0</v>
      </c>
      <c r="J8" s="2">
        <v>4.0</v>
      </c>
      <c r="K8" s="2">
        <v>3.3</v>
      </c>
      <c r="L8"/>
    </row>
    <row r="9">
      <c r="A9" t="inlineStr">
        <is>
          <t>CESAR</t>
        </is>
      </c>
      <c r="B9" t="inlineStr">
        <is>
          <t>DEF/LAT</t>
        </is>
      </c>
      <c r="C9" t="inlineStr">
        <is>
          <t>rapido</t>
        </is>
      </c>
      <c r="D9" s="2">
        <v>3.6</v>
      </c>
      <c r="E9" s="2">
        <v>4.6</v>
      </c>
      <c r="F9" s="2">
        <v>4.3</v>
      </c>
      <c r="G9" s="2">
        <v>3.3</v>
      </c>
      <c r="H9" s="2">
        <v>4.1</v>
      </c>
      <c r="I9" s="2">
        <v>3.6</v>
      </c>
      <c r="J9" s="2">
        <v>4.8</v>
      </c>
      <c r="K9" s="2"/>
      <c r="L9"/>
    </row>
    <row r="10">
      <c r="A10" t="inlineStr">
        <is>
          <t>COMANCHE</t>
        </is>
      </c>
      <c r="B10" t="inlineStr">
        <is>
          <t>LAT/MED</t>
        </is>
      </c>
      <c r="C10" t="inlineStr">
        <is>
          <t>lento</t>
        </is>
      </c>
      <c r="D10" s="2">
        <v>2.8</v>
      </c>
      <c r="E10" s="2">
        <v>2.7</v>
      </c>
      <c r="F10" s="2">
        <v>3.6</v>
      </c>
      <c r="G10" s="2">
        <v>2.0</v>
      </c>
      <c r="H10" s="2">
        <v>1.8</v>
      </c>
      <c r="I10" s="2">
        <v>3.0</v>
      </c>
      <c r="J10" s="2">
        <v>3.0</v>
      </c>
      <c r="K10" s="2">
        <v>3.9</v>
      </c>
      <c r="L10"/>
    </row>
    <row r="11">
      <c r="A11" t="inlineStr">
        <is>
          <t>CRISTIAN</t>
        </is>
      </c>
      <c r="B11" t="inlineStr">
        <is>
          <t>DEL/ARQ</t>
        </is>
      </c>
      <c r="C11" t="inlineStr">
        <is>
          <t>lento</t>
        </is>
      </c>
      <c r="D11" s="2">
        <v>2.6</v>
      </c>
      <c r="E11" s="2">
        <v>1.4</v>
      </c>
      <c r="F11" s="2">
        <v>2.8</v>
      </c>
      <c r="G11" s="2">
        <v>2.2</v>
      </c>
      <c r="H11" s="2">
        <v>2.8</v>
      </c>
      <c r="I11" s="2">
        <v>3.9</v>
      </c>
      <c r="J11" s="2">
        <v>2.8</v>
      </c>
      <c r="K11" s="2">
        <v>3.6</v>
      </c>
      <c r="L11"/>
    </row>
    <row r="12">
      <c r="A12" t="inlineStr">
        <is>
          <t>CUERVO</t>
        </is>
      </c>
      <c r="B12" t="inlineStr">
        <is>
          <t>DEL/DEF</t>
        </is>
      </c>
      <c r="C12" t="inlineStr">
        <is>
          <t>rapido</t>
        </is>
      </c>
      <c r="D12" s="2">
        <v>6.0</v>
      </c>
      <c r="E12" s="2">
        <v>3.6</v>
      </c>
      <c r="F12" s="2">
        <v>5.4</v>
      </c>
      <c r="G12" s="2">
        <v>3.6</v>
      </c>
      <c r="H12" s="2">
        <v>2.8</v>
      </c>
      <c r="I12" s="2">
        <v>3.3</v>
      </c>
      <c r="J12" s="2">
        <v>2.8</v>
      </c>
      <c r="K12" s="2"/>
      <c r="L12"/>
    </row>
    <row r="13">
      <c r="A13" t="inlineStr">
        <is>
          <t>ELIAN</t>
        </is>
      </c>
      <c r="B13" t="inlineStr">
        <is>
          <t>DEF/DEL</t>
        </is>
      </c>
      <c r="C13" t="inlineStr">
        <is>
          <t>lento</t>
        </is>
      </c>
      <c r="D13" s="2">
        <v>2.2</v>
      </c>
      <c r="E13" s="2">
        <v>1.4</v>
      </c>
      <c r="F13" s="2">
        <v>2.9</v>
      </c>
      <c r="G13" s="2">
        <v>1.4</v>
      </c>
      <c r="H13" s="2">
        <v>2.8</v>
      </c>
      <c r="I13" s="2">
        <v>2.8</v>
      </c>
      <c r="J13" s="2">
        <v>2.0</v>
      </c>
      <c r="K13" s="2">
        <v>3.3</v>
      </c>
      <c r="L13"/>
    </row>
    <row r="14">
      <c r="A14" t="inlineStr">
        <is>
          <t>FACU</t>
        </is>
      </c>
      <c r="B14" t="inlineStr">
        <is>
          <t>DEF/DEL</t>
        </is>
      </c>
      <c r="C14" t="inlineStr">
        <is>
          <t>lento</t>
        </is>
      </c>
      <c r="D14" s="2">
        <v>2.6</v>
      </c>
      <c r="E14" s="2">
        <v>4.1</v>
      </c>
      <c r="F14" s="2">
        <v>2.9</v>
      </c>
      <c r="G14" s="2">
        <v>2.8</v>
      </c>
      <c r="H14" s="2">
        <v>3.0</v>
      </c>
      <c r="I14" s="2">
        <v>2.6</v>
      </c>
      <c r="J14" s="2">
        <v>3.9</v>
      </c>
      <c r="K14" s="2">
        <v>2.8</v>
      </c>
      <c r="L14"/>
    </row>
    <row r="15">
      <c r="A15" t="inlineStr">
        <is>
          <t>FRANCISCO</t>
        </is>
      </c>
      <c r="B15" t="inlineStr">
        <is>
          <t>ARQ/DEL</t>
        </is>
      </c>
      <c r="C15" t="inlineStr">
        <is>
          <t>lento</t>
        </is>
      </c>
      <c r="D15" s="2">
        <v>1.4</v>
      </c>
      <c r="E15" s="2">
        <v>2.2</v>
      </c>
      <c r="F15" s="2">
        <v>1.4</v>
      </c>
      <c r="G15" s="2">
        <v>3.0</v>
      </c>
      <c r="H15" s="2">
        <v>2.2</v>
      </c>
      <c r="I15" s="2">
        <v>3.6</v>
      </c>
      <c r="J15" s="2">
        <v>2.8</v>
      </c>
      <c r="K15" s="2">
        <v>3.6</v>
      </c>
      <c r="L15"/>
    </row>
    <row r="16">
      <c r="A16" t="inlineStr">
        <is>
          <t>FRANCO COMOLLI</t>
        </is>
      </c>
      <c r="B16" t="inlineStr">
        <is>
          <t>MED/DEL</t>
        </is>
      </c>
      <c r="C16" t="inlineStr">
        <is>
          <t>rapido</t>
        </is>
      </c>
      <c r="D16" s="2">
        <v>4.3</v>
      </c>
      <c r="E16" s="2">
        <v>4.3</v>
      </c>
      <c r="F16" s="2">
        <v>5.0</v>
      </c>
      <c r="G16" s="2">
        <v>4.8</v>
      </c>
      <c r="H16" s="2">
        <v>4.8</v>
      </c>
      <c r="I16" s="2">
        <v>4.8</v>
      </c>
      <c r="J16" s="2">
        <v>5.4</v>
      </c>
      <c r="K16" s="2">
        <v>3.3</v>
      </c>
      <c r="L16"/>
    </row>
    <row r="17">
      <c r="A17" t="inlineStr">
        <is>
          <t>FRANCOK</t>
        </is>
      </c>
      <c r="B17" t="inlineStr">
        <is>
          <t>ARQ/LAT</t>
        </is>
      </c>
      <c r="C17" t="inlineStr">
        <is>
          <t>rapido</t>
        </is>
      </c>
      <c r="D17" s="2">
        <v>1.4</v>
      </c>
      <c r="E17" s="2">
        <v>2.8</v>
      </c>
      <c r="F17" s="2">
        <v>2.6</v>
      </c>
      <c r="G17" s="2">
        <v>3.6</v>
      </c>
      <c r="H17" s="2">
        <v>3.0</v>
      </c>
      <c r="I17" s="2">
        <v>3.0</v>
      </c>
      <c r="J17" s="2">
        <v>3.3</v>
      </c>
      <c r="K17" s="2">
        <v>3.9</v>
      </c>
      <c r="L17"/>
    </row>
    <row r="18">
      <c r="A18" t="inlineStr">
        <is>
          <t>FRANQUITO</t>
        </is>
      </c>
      <c r="B18" t="inlineStr">
        <is>
          <t>MED</t>
        </is>
      </c>
      <c r="C18" t="inlineStr">
        <is>
          <t>rapido</t>
        </is>
      </c>
      <c r="D18" s="2">
        <v>3.4</v>
      </c>
      <c r="E18" s="2">
        <v>3.0</v>
      </c>
      <c r="F18" s="2">
        <v>3.9</v>
      </c>
      <c r="G18" s="2">
        <v>4.3</v>
      </c>
      <c r="H18" s="2">
        <v>3.3</v>
      </c>
      <c r="I18" s="2">
        <v>3.3</v>
      </c>
      <c r="J18" s="2">
        <v>4.0</v>
      </c>
      <c r="K18" s="2">
        <v>3.6</v>
      </c>
      <c r="L18"/>
    </row>
    <row r="19">
      <c r="A19" t="inlineStr">
        <is>
          <t>GONZA</t>
        </is>
      </c>
      <c r="B19" t="inlineStr">
        <is>
          <t>ARQ/DEF</t>
        </is>
      </c>
      <c r="C19" t="inlineStr">
        <is>
          <t>lento</t>
        </is>
      </c>
      <c r="D19" s="2">
        <v>2.6</v>
      </c>
      <c r="E19" s="2">
        <v>3.9</v>
      </c>
      <c r="F19" s="2">
        <v>3.0</v>
      </c>
      <c r="G19" s="2">
        <v>3.0</v>
      </c>
      <c r="H19" s="2">
        <v>3.3</v>
      </c>
      <c r="I19" s="2">
        <v>3.3</v>
      </c>
      <c r="J19" s="2">
        <v>3.9</v>
      </c>
      <c r="K19" s="2">
        <v>3.9</v>
      </c>
      <c r="L19"/>
    </row>
    <row r="20">
      <c r="A20" t="inlineStr">
        <is>
          <t>GUILLE</t>
        </is>
      </c>
      <c r="B20" t="inlineStr">
        <is>
          <t>LAT/ARQ</t>
        </is>
      </c>
      <c r="C20" t="inlineStr">
        <is>
          <t>lento</t>
        </is>
      </c>
      <c r="D20" s="2">
        <v>2.2</v>
      </c>
      <c r="E20" s="2">
        <v>1.4</v>
      </c>
      <c r="F20" s="2">
        <v>2.6</v>
      </c>
      <c r="G20" s="2">
        <v>1.4</v>
      </c>
      <c r="H20" s="2">
        <v>2.8</v>
      </c>
      <c r="I20" s="2">
        <v>3.9</v>
      </c>
      <c r="J20" s="2">
        <v>2.8</v>
      </c>
      <c r="K20" s="2">
        <v>3.3</v>
      </c>
      <c r="L20"/>
    </row>
    <row r="21">
      <c r="A21" t="inlineStr">
        <is>
          <t>ISMA</t>
        </is>
      </c>
      <c r="B21" t="inlineStr">
        <is>
          <t>MED/LAT</t>
        </is>
      </c>
      <c r="C21" t="inlineStr">
        <is>
          <t>rapido</t>
        </is>
      </c>
      <c r="D21" s="2">
        <v>3.6</v>
      </c>
      <c r="E21" s="2">
        <v>3.9</v>
      </c>
      <c r="F21" s="2">
        <v>4.8</v>
      </c>
      <c r="G21" s="2">
        <v>3.9</v>
      </c>
      <c r="H21" s="2">
        <v>4.6</v>
      </c>
      <c r="I21" s="2">
        <v>4.3</v>
      </c>
      <c r="J21" s="2">
        <v>4.3</v>
      </c>
      <c r="K21" s="2">
        <v>3.6</v>
      </c>
      <c r="L21"/>
    </row>
    <row r="22">
      <c r="A22" t="inlineStr">
        <is>
          <t>JAVI</t>
        </is>
      </c>
      <c r="B22" t="inlineStr">
        <is>
          <t>DEF/ARQ</t>
        </is>
      </c>
      <c r="C22" t="inlineStr">
        <is>
          <t>lento</t>
        </is>
      </c>
      <c r="D22" s="2">
        <v>2.8</v>
      </c>
      <c r="E22" s="2">
        <v>3.7</v>
      </c>
      <c r="F22" s="2">
        <v>3.2</v>
      </c>
      <c r="G22" s="2">
        <v>3.0</v>
      </c>
      <c r="H22" s="2">
        <v>3.3</v>
      </c>
      <c r="I22" s="2">
        <v>3.9</v>
      </c>
      <c r="J22" s="2">
        <v>3.0</v>
      </c>
      <c r="K22" s="2">
        <v>4.8</v>
      </c>
      <c r="L22"/>
    </row>
    <row r="23">
      <c r="A23" t="inlineStr">
        <is>
          <t>JEAN FRANCO</t>
        </is>
      </c>
      <c r="B23" t="inlineStr">
        <is>
          <t>DEL</t>
        </is>
      </c>
      <c r="C23" t="inlineStr">
        <is>
          <t>lento</t>
        </is>
      </c>
      <c r="D23" s="2">
        <v>2.0</v>
      </c>
      <c r="E23" s="2">
        <v>2.0</v>
      </c>
      <c r="F23" s="2">
        <v>3.0</v>
      </c>
      <c r="G23" s="2">
        <v>3.0</v>
      </c>
      <c r="H23" s="2">
        <v>3.0</v>
      </c>
      <c r="I23" s="2">
        <v>4.0</v>
      </c>
      <c r="J23" s="2">
        <v>2.2</v>
      </c>
      <c r="K23" s="2">
        <v>2.6</v>
      </c>
      <c r="L23"/>
    </row>
    <row r="24">
      <c r="A24" t="inlineStr">
        <is>
          <t>MANU</t>
        </is>
      </c>
      <c r="B24" t="inlineStr">
        <is>
          <t>LAT/MED</t>
        </is>
      </c>
      <c r="C24" t="inlineStr">
        <is>
          <t>rapido</t>
        </is>
      </c>
      <c r="D24" s="2">
        <v>4.2</v>
      </c>
      <c r="E24" s="2">
        <v>4.8</v>
      </c>
      <c r="F24" s="2">
        <v>4.3</v>
      </c>
      <c r="G24" s="2">
        <v>6.0</v>
      </c>
      <c r="H24" s="2">
        <v>4.3</v>
      </c>
      <c r="I24" s="2">
        <v>3.3</v>
      </c>
      <c r="J24" s="2">
        <v>4.8</v>
      </c>
      <c r="K24" s="2"/>
      <c r="L24"/>
    </row>
    <row r="25">
      <c r="A25" t="inlineStr">
        <is>
          <t>MARCELO</t>
        </is>
      </c>
      <c r="B25" t="inlineStr">
        <is>
          <t>MED/LAT</t>
        </is>
      </c>
      <c r="C25" t="inlineStr">
        <is>
          <t>lento</t>
        </is>
      </c>
      <c r="D25" s="2">
        <v>2.7</v>
      </c>
      <c r="E25" s="2">
        <v>1.8</v>
      </c>
      <c r="F25" s="2">
        <v>3.7</v>
      </c>
      <c r="G25" s="2">
        <v>2.2</v>
      </c>
      <c r="H25" s="2">
        <v>4.2</v>
      </c>
      <c r="I25" s="2">
        <v>1.4</v>
      </c>
      <c r="J25" s="2">
        <v>2.6</v>
      </c>
      <c r="K25" s="2">
        <v>3.3</v>
      </c>
      <c r="L25"/>
    </row>
    <row r="26">
      <c r="A26" t="inlineStr">
        <is>
          <t>MARIAN</t>
        </is>
      </c>
      <c r="B26" t="inlineStr">
        <is>
          <t>DEL/MED</t>
        </is>
      </c>
      <c r="C26" t="inlineStr">
        <is>
          <t>lento</t>
        </is>
      </c>
      <c r="D26" s="2">
        <v>4.3</v>
      </c>
      <c r="E26" s="2">
        <v>1.8</v>
      </c>
      <c r="F26" s="2">
        <v>4.1</v>
      </c>
      <c r="G26" s="2">
        <v>2.2</v>
      </c>
      <c r="H26" s="2">
        <v>3.6</v>
      </c>
      <c r="I26" s="2">
        <v>2.8</v>
      </c>
      <c r="J26" s="2">
        <v>3.3</v>
      </c>
      <c r="K26" s="2">
        <v>3.9</v>
      </c>
      <c r="L26"/>
    </row>
    <row r="27">
      <c r="A27" t="inlineStr">
        <is>
          <t>MATI BRAIAN</t>
        </is>
      </c>
      <c r="B27" t="inlineStr">
        <is>
          <t>DEF/MED</t>
        </is>
      </c>
      <c r="C27" t="inlineStr">
        <is>
          <t>rapido</t>
        </is>
      </c>
      <c r="D27" s="2">
        <v>3.6</v>
      </c>
      <c r="E27" s="2">
        <v>3.3</v>
      </c>
      <c r="F27" s="2">
        <v>3.9</v>
      </c>
      <c r="G27" s="2">
        <v>4.8</v>
      </c>
      <c r="H27" s="2">
        <v>2.6</v>
      </c>
      <c r="I27" s="2">
        <v>2.8</v>
      </c>
      <c r="J27" s="2">
        <v>3.3</v>
      </c>
      <c r="K27" s="2">
        <v>3.4</v>
      </c>
      <c r="L27"/>
    </row>
    <row r="28">
      <c r="A28" t="inlineStr">
        <is>
          <t>MATI ROSALES</t>
        </is>
      </c>
      <c r="B28" t="inlineStr">
        <is>
          <t>MED/LAT</t>
        </is>
      </c>
      <c r="C28" t="inlineStr">
        <is>
          <t>rapido</t>
        </is>
      </c>
      <c r="D28" s="2">
        <v>3.9</v>
      </c>
      <c r="E28" s="2">
        <v>4.1</v>
      </c>
      <c r="F28" s="2">
        <v>6.0</v>
      </c>
      <c r="G28" s="2">
        <v>3.6</v>
      </c>
      <c r="H28" s="2">
        <v>5.4</v>
      </c>
      <c r="I28" s="2">
        <v>3.9</v>
      </c>
      <c r="J28" s="2">
        <v>4.3</v>
      </c>
      <c r="K28" s="2"/>
      <c r="L28"/>
    </row>
    <row r="29">
      <c r="A29" t="inlineStr">
        <is>
          <t>MAURI</t>
        </is>
      </c>
      <c r="B29" t="inlineStr">
        <is>
          <t>DEL</t>
        </is>
      </c>
      <c r="C29" t="inlineStr">
        <is>
          <t>rapido</t>
        </is>
      </c>
      <c r="D29" s="2">
        <v>3.9</v>
      </c>
      <c r="E29" s="2">
        <v>2.6</v>
      </c>
      <c r="F29" s="2">
        <v>3.3</v>
      </c>
      <c r="G29" s="2">
        <v>4.0</v>
      </c>
      <c r="H29" s="2">
        <v>3.3</v>
      </c>
      <c r="I29" s="2">
        <v>3.9</v>
      </c>
      <c r="J29" s="2">
        <v>3.6</v>
      </c>
      <c r="K29" s="2">
        <v>3.3</v>
      </c>
      <c r="L29"/>
    </row>
    <row r="30">
      <c r="A30" t="inlineStr">
        <is>
          <t>MAXI</t>
        </is>
      </c>
      <c r="B30" t="inlineStr">
        <is>
          <t>MED</t>
        </is>
      </c>
      <c r="C30" t="inlineStr">
        <is>
          <t>lento</t>
        </is>
      </c>
      <c r="D30" s="2">
        <v>2.8</v>
      </c>
      <c r="E30" s="2">
        <v>1.8</v>
      </c>
      <c r="F30" s="2">
        <v>3.6</v>
      </c>
      <c r="G30" s="2">
        <v>2.0</v>
      </c>
      <c r="H30" s="2">
        <v>3.0</v>
      </c>
      <c r="I30" s="2">
        <v>2.8</v>
      </c>
      <c r="J30" s="2">
        <v>2.2</v>
      </c>
      <c r="K30" s="2">
        <v>2.5</v>
      </c>
      <c r="L30"/>
    </row>
    <row r="31">
      <c r="A31" t="inlineStr">
        <is>
          <t>NICO</t>
        </is>
      </c>
      <c r="B31" t="inlineStr">
        <is>
          <t>MED/LAT</t>
        </is>
      </c>
      <c r="C31" t="inlineStr">
        <is>
          <t>rapido</t>
        </is>
      </c>
      <c r="D31" s="2">
        <v>3.9</v>
      </c>
      <c r="E31" s="2">
        <v>2.6</v>
      </c>
      <c r="F31" s="2">
        <v>3.9</v>
      </c>
      <c r="G31" s="2">
        <v>3.3</v>
      </c>
      <c r="H31" s="2">
        <v>3.9</v>
      </c>
      <c r="I31" s="2">
        <v>3.3</v>
      </c>
      <c r="J31" s="2">
        <v>3.3</v>
      </c>
      <c r="K31" s="2">
        <v>3.3</v>
      </c>
      <c r="L31"/>
    </row>
    <row r="32">
      <c r="A32" t="inlineStr">
        <is>
          <t>PABLO</t>
        </is>
      </c>
      <c r="B32" t="inlineStr">
        <is>
          <t>DEF/LAT</t>
        </is>
      </c>
      <c r="C32" t="inlineStr">
        <is>
          <t>rapido</t>
        </is>
      </c>
      <c r="D32" s="2">
        <v>3.0</v>
      </c>
      <c r="E32" s="2">
        <v>5.0</v>
      </c>
      <c r="F32" s="2">
        <v>3.9</v>
      </c>
      <c r="G32" s="2">
        <v>3.9</v>
      </c>
      <c r="H32" s="2">
        <v>3.9</v>
      </c>
      <c r="I32" s="2">
        <v>5.4</v>
      </c>
      <c r="J32" s="2">
        <v>5.4</v>
      </c>
      <c r="K32" s="2"/>
      <c r="L32"/>
    </row>
    <row r="33">
      <c r="A33" t="inlineStr">
        <is>
          <t>PABLO CASTILLO</t>
        </is>
      </c>
      <c r="B33" t="inlineStr">
        <is>
          <t>LAT/MED</t>
        </is>
      </c>
      <c r="C33" t="inlineStr">
        <is>
          <t>lento</t>
        </is>
      </c>
      <c r="D33" s="2">
        <v>3.0</v>
      </c>
      <c r="E33" s="2">
        <v>3.9</v>
      </c>
      <c r="F33" s="2">
        <v>3.9</v>
      </c>
      <c r="G33" s="2">
        <v>3.0</v>
      </c>
      <c r="H33" s="2">
        <v>4.3</v>
      </c>
      <c r="I33" s="2">
        <v>3.6</v>
      </c>
      <c r="J33" s="2">
        <v>3.0</v>
      </c>
      <c r="K33" s="2">
        <v>3.3</v>
      </c>
      <c r="L33"/>
    </row>
    <row r="34">
      <c r="A34" t="inlineStr">
        <is>
          <t>PABLO GARCIA</t>
        </is>
      </c>
      <c r="B34" t="inlineStr">
        <is>
          <t>MED/LAT</t>
        </is>
      </c>
      <c r="C34" t="inlineStr">
        <is>
          <t>rapido</t>
        </is>
      </c>
      <c r="D34" s="2">
        <v>2.3</v>
      </c>
      <c r="E34" s="2">
        <v>3.0</v>
      </c>
      <c r="F34" s="2">
        <v>2.7</v>
      </c>
      <c r="G34" s="2">
        <v>3.3</v>
      </c>
      <c r="H34" s="2">
        <v>3.3</v>
      </c>
      <c r="I34" s="2">
        <v>4.3</v>
      </c>
      <c r="J34" s="2">
        <v>3.9</v>
      </c>
      <c r="K34" s="2">
        <v>3.3</v>
      </c>
      <c r="L34"/>
    </row>
    <row r="35">
      <c r="A35" t="inlineStr">
        <is>
          <t>PELA</t>
        </is>
      </c>
      <c r="B35" t="inlineStr">
        <is>
          <t>DEL/MED</t>
        </is>
      </c>
      <c r="C35" t="inlineStr">
        <is>
          <t>rapido</t>
        </is>
      </c>
      <c r="D35" s="2">
        <v>4.3</v>
      </c>
      <c r="E35" s="2">
        <v>3.6</v>
      </c>
      <c r="F35" s="2">
        <v>4.3</v>
      </c>
      <c r="G35" s="2">
        <v>3.6</v>
      </c>
      <c r="H35" s="2">
        <v>2.8</v>
      </c>
      <c r="I35" s="2">
        <v>4.3</v>
      </c>
      <c r="J35" s="2">
        <v>2.2</v>
      </c>
      <c r="K35" s="2">
        <v>3.6</v>
      </c>
      <c r="L35"/>
    </row>
    <row r="36">
      <c r="A36" t="inlineStr">
        <is>
          <t>PULY</t>
        </is>
      </c>
      <c r="B36" t="inlineStr">
        <is>
          <t>DEL/MED</t>
        </is>
      </c>
      <c r="C36" t="inlineStr">
        <is>
          <t>lento</t>
        </is>
      </c>
      <c r="D36" s="2">
        <v>3.0</v>
      </c>
      <c r="E36" s="2">
        <v>1.0</v>
      </c>
      <c r="F36" s="2">
        <v>5.0</v>
      </c>
      <c r="G36" s="2">
        <v>2.2</v>
      </c>
      <c r="H36" s="2">
        <v>3.0</v>
      </c>
      <c r="I36" s="2">
        <v>2.2</v>
      </c>
      <c r="J36" s="2">
        <v>2.2</v>
      </c>
      <c r="K36" s="2">
        <v>3.3</v>
      </c>
      <c r="L36"/>
    </row>
    <row r="37">
      <c r="A37" t="inlineStr">
        <is>
          <t>RODRI CHAVEZ</t>
        </is>
      </c>
      <c r="B37" t="inlineStr">
        <is>
          <t>LAT/MED</t>
        </is>
      </c>
      <c r="C37" t="inlineStr">
        <is>
          <t>rapido</t>
        </is>
      </c>
      <c r="D37" s="2">
        <v>3.6</v>
      </c>
      <c r="E37" s="2">
        <v>4.1</v>
      </c>
      <c r="F37" s="2">
        <v>3.9</v>
      </c>
      <c r="G37" s="2">
        <v>4.3</v>
      </c>
      <c r="H37" s="2">
        <v>4.3</v>
      </c>
      <c r="I37" s="2">
        <v>4.8</v>
      </c>
      <c r="J37" s="2">
        <v>4.8</v>
      </c>
      <c r="K37" s="2">
        <v>3.6</v>
      </c>
      <c r="L37"/>
    </row>
    <row r="38">
      <c r="A38" t="inlineStr">
        <is>
          <t>RODRI SUAREZ</t>
        </is>
      </c>
      <c r="B38" t="inlineStr">
        <is>
          <t>DEF/ARQ</t>
        </is>
      </c>
      <c r="C38" t="inlineStr">
        <is>
          <t>lento</t>
        </is>
      </c>
      <c r="D38" s="2">
        <v>2.2</v>
      </c>
      <c r="E38" s="2">
        <v>3.7</v>
      </c>
      <c r="F38" s="2">
        <v>2.8</v>
      </c>
      <c r="G38" s="2">
        <v>3.0</v>
      </c>
      <c r="H38" s="2">
        <v>3.6</v>
      </c>
      <c r="I38" s="2">
        <v>3.9</v>
      </c>
      <c r="J38" s="2">
        <v>3.9</v>
      </c>
      <c r="K38" s="2">
        <v>3.9</v>
      </c>
      <c r="L38"/>
    </row>
    <row r="39">
      <c r="A39" t="inlineStr">
        <is>
          <t>SANTI</t>
        </is>
      </c>
      <c r="B39" t="inlineStr">
        <is>
          <t>ARQ/MED</t>
        </is>
      </c>
      <c r="C39" t="inlineStr">
        <is>
          <t>rapido</t>
        </is>
      </c>
      <c r="D39" s="2">
        <v>3.0</v>
      </c>
      <c r="E39" s="2">
        <v>3.0</v>
      </c>
      <c r="F39" s="2">
        <v>5.0</v>
      </c>
      <c r="G39" s="2">
        <v>4.0</v>
      </c>
      <c r="H39" s="2">
        <v>3.0</v>
      </c>
      <c r="I39" s="2">
        <v>3.0</v>
      </c>
      <c r="J39" s="2">
        <v>4.0</v>
      </c>
      <c r="K39" s="2">
        <v>3.3</v>
      </c>
      <c r="L39"/>
    </row>
    <row r="40">
      <c r="A40" t="inlineStr">
        <is>
          <t>SEBACORTEZ</t>
        </is>
      </c>
      <c r="B40" t="inlineStr">
        <is>
          <t>DEF/ARQ</t>
        </is>
      </c>
      <c r="C40" t="inlineStr">
        <is>
          <t>lento</t>
        </is>
      </c>
      <c r="D40" s="2">
        <v>3.3</v>
      </c>
      <c r="E40" s="2">
        <v>4.1</v>
      </c>
      <c r="F40" s="2">
        <v>3.9</v>
      </c>
      <c r="G40" s="2">
        <v>2.8</v>
      </c>
      <c r="H40" s="2">
        <v>3.6</v>
      </c>
      <c r="I40" s="2">
        <v>4.3</v>
      </c>
      <c r="J40" s="2">
        <v>3.0</v>
      </c>
      <c r="K40" s="2">
        <v>4.8</v>
      </c>
      <c r="L40"/>
    </row>
    <row r="41">
      <c r="A41" t="inlineStr">
        <is>
          <t>TEBO</t>
        </is>
      </c>
      <c r="B41" t="inlineStr">
        <is>
          <t>MED/DEL</t>
        </is>
      </c>
      <c r="C41" t="inlineStr">
        <is>
          <t>rapido</t>
        </is>
      </c>
      <c r="D41" s="2">
        <v>4.3</v>
      </c>
      <c r="E41" s="2">
        <v>3.9</v>
      </c>
      <c r="F41" s="2">
        <v>4.8</v>
      </c>
      <c r="G41" s="2">
        <v>4.8</v>
      </c>
      <c r="H41" s="2">
        <v>4.2</v>
      </c>
      <c r="I41" s="2">
        <v>4.8</v>
      </c>
      <c r="J41" s="2">
        <v>5.4</v>
      </c>
      <c r="K41" s="2">
        <v>3.9</v>
      </c>
      <c r="L41"/>
    </row>
    <row r="42">
      <c r="A42" t="inlineStr">
        <is>
          <t>VICTOR</t>
        </is>
      </c>
      <c r="B42" t="inlineStr">
        <is>
          <t>DEF/LAT</t>
        </is>
      </c>
      <c r="C42" t="inlineStr">
        <is>
          <t>rapido</t>
        </is>
      </c>
      <c r="D42" s="2">
        <v>3.3</v>
      </c>
      <c r="E42" s="2">
        <v>4.2</v>
      </c>
      <c r="F42" s="2">
        <v>4.6</v>
      </c>
      <c r="G42" s="2">
        <v>3.3</v>
      </c>
      <c r="H42" s="2">
        <v>4.8</v>
      </c>
      <c r="I42" s="2">
        <v>3.9</v>
      </c>
      <c r="J42" s="2">
        <v>3.9</v>
      </c>
      <c r="K42" s="2">
        <v>3.6</v>
      </c>
      <c r="L42"/>
    </row>
    <row r="43">
      <c r="A43" t="inlineStr">
        <is>
          <t>VIKINGO</t>
        </is>
      </c>
      <c r="B43" t="inlineStr">
        <is>
          <t>MED/LAT</t>
        </is>
      </c>
      <c r="C43" t="inlineStr">
        <is>
          <t>rapido</t>
        </is>
      </c>
      <c r="D43" s="2">
        <v>3.6</v>
      </c>
      <c r="E43" s="2">
        <v>3.9</v>
      </c>
      <c r="F43" s="2">
        <v>4.2</v>
      </c>
      <c r="G43" s="2">
        <v>4.8</v>
      </c>
      <c r="H43" s="2">
        <v>2.6</v>
      </c>
      <c r="I43" s="2">
        <v>2.6</v>
      </c>
      <c r="J43" s="2">
        <v>2.2</v>
      </c>
      <c r="K43" s="2">
        <v>3.9</v>
      </c>
      <c r="L43"/>
    </row>
  </sheetData>
  <autoFilter ref="A1:L4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3"/>
  <sheetViews>
    <sheetView workbookViewId="0">
      <pane ySplit="1" topLeftCell="A2" activePane="bottomLeft" state="frozen"/>
    </sheetView>
  </sheetViews>
  <cols>
    <col min="1" max="1" width="24" customWidth="1"/>
    <col min="2" max="2" width="13" customWidth="1"/>
    <col min="3" max="3" width="12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2" customWidth="1"/>
    <col min="10" max="10" width="12" customWidth="1"/>
    <col min="11" max="11" width="10" customWidth="1"/>
    <col min="12" max="12" width="28" customWidth="1"/>
  </cols>
  <sheetData>
    <row r="1">
      <c r="A1" t="inlineStr" s="1">
        <is>
          <t>Nombre jugador</t>
        </is>
      </c>
      <c r="B1" t="inlineStr" s="1">
        <is>
          <t>Posiciones</t>
        </is>
      </c>
      <c r="C1" t="inlineStr" s="1">
        <is>
          <t>Ritmo base</t>
        </is>
      </c>
      <c r="D1" t="inlineStr" s="1">
        <is>
          <t>Ataque</t>
        </is>
      </c>
      <c r="E1" t="inlineStr" s="1">
        <is>
          <t>Solidez</t>
        </is>
      </c>
      <c r="F1" t="inlineStr" s="1">
        <is>
          <t>Tecnica</t>
        </is>
      </c>
      <c r="G1" t="inlineStr" s="1">
        <is>
          <t>Ritmo</t>
        </is>
      </c>
      <c r="H1" t="inlineStr" s="1">
        <is>
          <t>Equipo</t>
        </is>
      </c>
      <c r="I1" t="inlineStr" s="1">
        <is>
          <t>Mentalidad</t>
        </is>
      </c>
      <c r="J1" t="inlineStr" s="1">
        <is>
          <t>Regularidad</t>
        </is>
      </c>
      <c r="K1" t="inlineStr" s="1">
        <is>
          <t>Arquero</t>
        </is>
      </c>
      <c r="L1" t="inlineStr" s="1">
        <is>
          <t>Comentarios</t>
        </is>
      </c>
    </row>
    <row r="2">
      <c r="A2" t="inlineStr">
        <is>
          <t>ALE CUERVO</t>
        </is>
      </c>
      <c r="B2" t="inlineStr">
        <is>
          <t>LAT/MED</t>
        </is>
      </c>
      <c r="C2" t="inlineStr">
        <is>
          <t>lento</t>
        </is>
      </c>
      <c r="D2" s="2">
        <v>2.8</v>
      </c>
      <c r="E2" s="2">
        <v>2.6</v>
      </c>
      <c r="F2" s="2">
        <v>3.3</v>
      </c>
      <c r="G2" s="2">
        <v>3.0</v>
      </c>
      <c r="H2" s="2">
        <v>3.0</v>
      </c>
      <c r="I2" s="2">
        <v>2.2</v>
      </c>
      <c r="J2" s="2">
        <v>2.8</v>
      </c>
      <c r="K2" s="2">
        <v>3.6</v>
      </c>
      <c r="L2"/>
    </row>
    <row r="3">
      <c r="A3" t="inlineStr">
        <is>
          <t>ALEXIS</t>
        </is>
      </c>
      <c r="B3" t="inlineStr">
        <is>
          <t>LAT/MED</t>
        </is>
      </c>
      <c r="C3" t="inlineStr">
        <is>
          <t>rapido</t>
        </is>
      </c>
      <c r="D3" s="2">
        <v>3.6</v>
      </c>
      <c r="E3" s="2">
        <v>3.6</v>
      </c>
      <c r="F3" s="2">
        <v>3.9</v>
      </c>
      <c r="G3" s="2">
        <v>4.8</v>
      </c>
      <c r="H3" s="2">
        <v>3.3</v>
      </c>
      <c r="I3" s="2">
        <v>4.3</v>
      </c>
      <c r="J3" s="2">
        <v>4.8</v>
      </c>
      <c r="K3" s="2">
        <v>3.3</v>
      </c>
      <c r="L3"/>
    </row>
    <row r="4">
      <c r="A4" t="inlineStr">
        <is>
          <t>ANIBAL</t>
        </is>
      </c>
      <c r="B4" t="inlineStr">
        <is>
          <t>DEL</t>
        </is>
      </c>
      <c r="C4" t="inlineStr">
        <is>
          <t>lento</t>
        </is>
      </c>
      <c r="D4" s="2">
        <v>3.7</v>
      </c>
      <c r="E4" s="2">
        <v>1.8</v>
      </c>
      <c r="F4" s="2">
        <v>3.6</v>
      </c>
      <c r="G4" s="2">
        <v>1.4</v>
      </c>
      <c r="H4" s="2">
        <v>1.8</v>
      </c>
      <c r="I4" s="2">
        <v>2.2</v>
      </c>
      <c r="J4" s="2">
        <v>2.8</v>
      </c>
      <c r="K4" s="2">
        <v>4.3</v>
      </c>
      <c r="L4"/>
    </row>
    <row r="5">
      <c r="A5" t="inlineStr">
        <is>
          <t>AUGUSTO</t>
        </is>
      </c>
      <c r="B5" t="inlineStr">
        <is>
          <t>MED/LAT</t>
        </is>
      </c>
      <c r="C5" t="inlineStr">
        <is>
          <t>rapido</t>
        </is>
      </c>
      <c r="D5" s="2">
        <v>3.7</v>
      </c>
      <c r="E5" s="2">
        <v>3.3</v>
      </c>
      <c r="F5" s="2">
        <v>4.3</v>
      </c>
      <c r="G5" s="2">
        <v>4.3</v>
      </c>
      <c r="H5" s="2">
        <v>3.9</v>
      </c>
      <c r="I5" s="2">
        <v>2.8</v>
      </c>
      <c r="J5" s="2">
        <v>2.6</v>
      </c>
      <c r="K5" s="2">
        <v>3.6</v>
      </c>
      <c r="L5"/>
    </row>
    <row r="6">
      <c r="A6" t="inlineStr">
        <is>
          <t>BETO</t>
        </is>
      </c>
      <c r="B6" t="inlineStr">
        <is>
          <t>DEL/MED</t>
        </is>
      </c>
      <c r="C6" t="inlineStr">
        <is>
          <t>lento</t>
        </is>
      </c>
      <c r="D6" s="2">
        <v>3.7</v>
      </c>
      <c r="E6" s="2">
        <v>1.8</v>
      </c>
      <c r="F6" s="2">
        <v>3.6</v>
      </c>
      <c r="G6" s="2">
        <v>2.2</v>
      </c>
      <c r="H6" s="2">
        <v>3.0</v>
      </c>
      <c r="I6" s="2">
        <v>3.6</v>
      </c>
      <c r="J6" s="2">
        <v>4.0</v>
      </c>
      <c r="K6" s="2">
        <v>3.3</v>
      </c>
      <c r="L6"/>
    </row>
    <row r="7">
      <c r="A7" t="inlineStr">
        <is>
          <t>BRIAN</t>
        </is>
      </c>
      <c r="B7" t="inlineStr">
        <is>
          <t>DEL/MED</t>
        </is>
      </c>
      <c r="C7" t="inlineStr">
        <is>
          <t>rapido</t>
        </is>
      </c>
      <c r="D7" s="2">
        <v>5.4</v>
      </c>
      <c r="E7" s="2">
        <v>3.9</v>
      </c>
      <c r="F7" s="2">
        <v>5.4</v>
      </c>
      <c r="G7" s="2">
        <v>3.9</v>
      </c>
      <c r="H7" s="2">
        <v>4.3</v>
      </c>
      <c r="I7" s="2">
        <v>2.8</v>
      </c>
      <c r="J7" s="2">
        <v>4.8</v>
      </c>
      <c r="K7" s="2"/>
      <c r="L7"/>
    </row>
    <row r="8">
      <c r="A8" t="inlineStr">
        <is>
          <t>CAMILO</t>
        </is>
      </c>
      <c r="B8" t="inlineStr">
        <is>
          <t>MED/DEL</t>
        </is>
      </c>
      <c r="C8" t="inlineStr">
        <is>
          <t>rapido</t>
        </is>
      </c>
      <c r="D8" s="2">
        <v>3.9</v>
      </c>
      <c r="E8" s="2">
        <v>3.0</v>
      </c>
      <c r="F8" s="2">
        <v>5.0</v>
      </c>
      <c r="G8" s="2">
        <v>4.3</v>
      </c>
      <c r="H8" s="2">
        <v>4.0</v>
      </c>
      <c r="I8" s="2">
        <v>4.0</v>
      </c>
      <c r="J8" s="2">
        <v>4.0</v>
      </c>
      <c r="K8" s="2">
        <v>3.3</v>
      </c>
      <c r="L8"/>
    </row>
    <row r="9">
      <c r="A9" t="inlineStr">
        <is>
          <t>CESAR</t>
        </is>
      </c>
      <c r="B9" t="inlineStr">
        <is>
          <t>DEF/LAT</t>
        </is>
      </c>
      <c r="C9" t="inlineStr">
        <is>
          <t>rapido</t>
        </is>
      </c>
      <c r="D9" s="2">
        <v>3.6</v>
      </c>
      <c r="E9" s="2">
        <v>4.6</v>
      </c>
      <c r="F9" s="2">
        <v>4.3</v>
      </c>
      <c r="G9" s="2">
        <v>3.3</v>
      </c>
      <c r="H9" s="2">
        <v>4.1</v>
      </c>
      <c r="I9" s="2">
        <v>3.6</v>
      </c>
      <c r="J9" s="2">
        <v>4.8</v>
      </c>
      <c r="K9" s="2"/>
      <c r="L9"/>
    </row>
    <row r="10">
      <c r="A10" t="inlineStr">
        <is>
          <t>COMANCHE</t>
        </is>
      </c>
      <c r="B10" t="inlineStr">
        <is>
          <t>LAT/MED</t>
        </is>
      </c>
      <c r="C10" t="inlineStr">
        <is>
          <t>lento</t>
        </is>
      </c>
      <c r="D10" s="2">
        <v>2.8</v>
      </c>
      <c r="E10" s="2">
        <v>2.7</v>
      </c>
      <c r="F10" s="2">
        <v>3.6</v>
      </c>
      <c r="G10" s="2">
        <v>2.0</v>
      </c>
      <c r="H10" s="2">
        <v>1.8</v>
      </c>
      <c r="I10" s="2">
        <v>3.0</v>
      </c>
      <c r="J10" s="2">
        <v>3.0</v>
      </c>
      <c r="K10" s="2">
        <v>3.9</v>
      </c>
      <c r="L10"/>
    </row>
    <row r="11">
      <c r="A11" t="inlineStr">
        <is>
          <t>CRISTIAN</t>
        </is>
      </c>
      <c r="B11" t="inlineStr">
        <is>
          <t>DEL/ARQ</t>
        </is>
      </c>
      <c r="C11" t="inlineStr">
        <is>
          <t>lento</t>
        </is>
      </c>
      <c r="D11" s="2">
        <v>2.6</v>
      </c>
      <c r="E11" s="2">
        <v>1.4</v>
      </c>
      <c r="F11" s="2">
        <v>2.8</v>
      </c>
      <c r="G11" s="2">
        <v>2.2</v>
      </c>
      <c r="H11" s="2">
        <v>2.8</v>
      </c>
      <c r="I11" s="2">
        <v>3.9</v>
      </c>
      <c r="J11" s="2">
        <v>2.8</v>
      </c>
      <c r="K11" s="2">
        <v>3.6</v>
      </c>
      <c r="L11"/>
    </row>
    <row r="12">
      <c r="A12" t="inlineStr">
        <is>
          <t>CUERVO</t>
        </is>
      </c>
      <c r="B12" t="inlineStr">
        <is>
          <t>DEL/DEF</t>
        </is>
      </c>
      <c r="C12" t="inlineStr">
        <is>
          <t>rapido</t>
        </is>
      </c>
      <c r="D12" s="2">
        <v>6.0</v>
      </c>
      <c r="E12" s="2">
        <v>3.6</v>
      </c>
      <c r="F12" s="2">
        <v>5.4</v>
      </c>
      <c r="G12" s="2">
        <v>3.6</v>
      </c>
      <c r="H12" s="2">
        <v>2.8</v>
      </c>
      <c r="I12" s="2">
        <v>3.3</v>
      </c>
      <c r="J12" s="2">
        <v>2.8</v>
      </c>
      <c r="K12" s="2"/>
      <c r="L12"/>
    </row>
    <row r="13">
      <c r="A13" t="inlineStr">
        <is>
          <t>ELIAN</t>
        </is>
      </c>
      <c r="B13" t="inlineStr">
        <is>
          <t>DEF/DEL</t>
        </is>
      </c>
      <c r="C13" t="inlineStr">
        <is>
          <t>lento</t>
        </is>
      </c>
      <c r="D13" s="2">
        <v>2.2</v>
      </c>
      <c r="E13" s="2">
        <v>1.4</v>
      </c>
      <c r="F13" s="2">
        <v>2.9</v>
      </c>
      <c r="G13" s="2">
        <v>1.4</v>
      </c>
      <c r="H13" s="2">
        <v>2.8</v>
      </c>
      <c r="I13" s="2">
        <v>2.8</v>
      </c>
      <c r="J13" s="2">
        <v>2.0</v>
      </c>
      <c r="K13" s="2">
        <v>3.3</v>
      </c>
      <c r="L13"/>
    </row>
    <row r="14">
      <c r="A14" t="inlineStr">
        <is>
          <t>FACU</t>
        </is>
      </c>
      <c r="B14" t="inlineStr">
        <is>
          <t>DEF/DEL</t>
        </is>
      </c>
      <c r="C14" t="inlineStr">
        <is>
          <t>lento</t>
        </is>
      </c>
      <c r="D14" s="2">
        <v>2.6</v>
      </c>
      <c r="E14" s="2">
        <v>4.1</v>
      </c>
      <c r="F14" s="2">
        <v>2.9</v>
      </c>
      <c r="G14" s="2">
        <v>2.8</v>
      </c>
      <c r="H14" s="2">
        <v>3.0</v>
      </c>
      <c r="I14" s="2">
        <v>2.6</v>
      </c>
      <c r="J14" s="2">
        <v>3.9</v>
      </c>
      <c r="K14" s="2">
        <v>2.8</v>
      </c>
      <c r="L14"/>
    </row>
    <row r="15">
      <c r="A15" t="inlineStr">
        <is>
          <t>FRANCISCO</t>
        </is>
      </c>
      <c r="B15" t="inlineStr">
        <is>
          <t>ARQ/DEL</t>
        </is>
      </c>
      <c r="C15" t="inlineStr">
        <is>
          <t>lento</t>
        </is>
      </c>
      <c r="D15" s="2">
        <v>1.4</v>
      </c>
      <c r="E15" s="2">
        <v>2.2</v>
      </c>
      <c r="F15" s="2">
        <v>1.4</v>
      </c>
      <c r="G15" s="2">
        <v>3.0</v>
      </c>
      <c r="H15" s="2">
        <v>2.2</v>
      </c>
      <c r="I15" s="2">
        <v>3.6</v>
      </c>
      <c r="J15" s="2">
        <v>2.8</v>
      </c>
      <c r="K15" s="2">
        <v>3.6</v>
      </c>
      <c r="L15"/>
    </row>
    <row r="16">
      <c r="A16" t="inlineStr">
        <is>
          <t>FRANCO COMOLLI</t>
        </is>
      </c>
      <c r="B16" t="inlineStr">
        <is>
          <t>MED/DEL</t>
        </is>
      </c>
      <c r="C16" t="inlineStr">
        <is>
          <t>rapido</t>
        </is>
      </c>
      <c r="D16" s="2">
        <v>4.3</v>
      </c>
      <c r="E16" s="2">
        <v>4.3</v>
      </c>
      <c r="F16" s="2">
        <v>5.0</v>
      </c>
      <c r="G16" s="2">
        <v>4.8</v>
      </c>
      <c r="H16" s="2">
        <v>4.8</v>
      </c>
      <c r="I16" s="2">
        <v>4.8</v>
      </c>
      <c r="J16" s="2">
        <v>5.4</v>
      </c>
      <c r="K16" s="2">
        <v>3.3</v>
      </c>
      <c r="L16"/>
    </row>
    <row r="17">
      <c r="A17" t="inlineStr">
        <is>
          <t>FRANCOK</t>
        </is>
      </c>
      <c r="B17" t="inlineStr">
        <is>
          <t>ARQ/LAT</t>
        </is>
      </c>
      <c r="C17" t="inlineStr">
        <is>
          <t>rapido</t>
        </is>
      </c>
      <c r="D17" s="2">
        <v>1.4</v>
      </c>
      <c r="E17" s="2">
        <v>2.8</v>
      </c>
      <c r="F17" s="2">
        <v>2.6</v>
      </c>
      <c r="G17" s="2">
        <v>3.6</v>
      </c>
      <c r="H17" s="2">
        <v>3.0</v>
      </c>
      <c r="I17" s="2">
        <v>3.0</v>
      </c>
      <c r="J17" s="2">
        <v>3.3</v>
      </c>
      <c r="K17" s="2">
        <v>3.9</v>
      </c>
      <c r="L17"/>
    </row>
    <row r="18">
      <c r="A18" t="inlineStr">
        <is>
          <t>FRANQUITO</t>
        </is>
      </c>
      <c r="B18" t="inlineStr">
        <is>
          <t>MED</t>
        </is>
      </c>
      <c r="C18" t="inlineStr">
        <is>
          <t>rapido</t>
        </is>
      </c>
      <c r="D18" s="2">
        <v>3.4</v>
      </c>
      <c r="E18" s="2">
        <v>3.0</v>
      </c>
      <c r="F18" s="2">
        <v>3.9</v>
      </c>
      <c r="G18" s="2">
        <v>4.3</v>
      </c>
      <c r="H18" s="2">
        <v>3.3</v>
      </c>
      <c r="I18" s="2">
        <v>3.3</v>
      </c>
      <c r="J18" s="2">
        <v>4.0</v>
      </c>
      <c r="K18" s="2">
        <v>3.6</v>
      </c>
      <c r="L18"/>
    </row>
    <row r="19">
      <c r="A19" t="inlineStr">
        <is>
          <t>GONZA</t>
        </is>
      </c>
      <c r="B19" t="inlineStr">
        <is>
          <t>ARQ/DEF</t>
        </is>
      </c>
      <c r="C19" t="inlineStr">
        <is>
          <t>lento</t>
        </is>
      </c>
      <c r="D19" s="2">
        <v>2.6</v>
      </c>
      <c r="E19" s="2">
        <v>3.9</v>
      </c>
      <c r="F19" s="2">
        <v>3.0</v>
      </c>
      <c r="G19" s="2">
        <v>3.0</v>
      </c>
      <c r="H19" s="2">
        <v>3.3</v>
      </c>
      <c r="I19" s="2">
        <v>3.3</v>
      </c>
      <c r="J19" s="2">
        <v>3.9</v>
      </c>
      <c r="K19" s="2">
        <v>3.9</v>
      </c>
      <c r="L19"/>
    </row>
    <row r="20">
      <c r="A20" t="inlineStr">
        <is>
          <t>GUILLE</t>
        </is>
      </c>
      <c r="B20" t="inlineStr">
        <is>
          <t>LAT/ARQ</t>
        </is>
      </c>
      <c r="C20" t="inlineStr">
        <is>
          <t>lento</t>
        </is>
      </c>
      <c r="D20" s="2">
        <v>2.2</v>
      </c>
      <c r="E20" s="2">
        <v>1.4</v>
      </c>
      <c r="F20" s="2">
        <v>2.6</v>
      </c>
      <c r="G20" s="2">
        <v>1.4</v>
      </c>
      <c r="H20" s="2">
        <v>2.8</v>
      </c>
      <c r="I20" s="2">
        <v>3.9</v>
      </c>
      <c r="J20" s="2">
        <v>2.8</v>
      </c>
      <c r="K20" s="2">
        <v>3.3</v>
      </c>
      <c r="L20"/>
    </row>
    <row r="21">
      <c r="A21" t="inlineStr">
        <is>
          <t>ISMA</t>
        </is>
      </c>
      <c r="B21" t="inlineStr">
        <is>
          <t>MED/LAT</t>
        </is>
      </c>
      <c r="C21" t="inlineStr">
        <is>
          <t>rapido</t>
        </is>
      </c>
      <c r="D21" s="2">
        <v>3.6</v>
      </c>
      <c r="E21" s="2">
        <v>3.9</v>
      </c>
      <c r="F21" s="2">
        <v>4.8</v>
      </c>
      <c r="G21" s="2">
        <v>3.9</v>
      </c>
      <c r="H21" s="2">
        <v>4.6</v>
      </c>
      <c r="I21" s="2">
        <v>4.3</v>
      </c>
      <c r="J21" s="2">
        <v>4.3</v>
      </c>
      <c r="K21" s="2">
        <v>3.6</v>
      </c>
      <c r="L21"/>
    </row>
    <row r="22">
      <c r="A22" t="inlineStr">
        <is>
          <t>JAVI</t>
        </is>
      </c>
      <c r="B22" t="inlineStr">
        <is>
          <t>DEF/ARQ</t>
        </is>
      </c>
      <c r="C22" t="inlineStr">
        <is>
          <t>lento</t>
        </is>
      </c>
      <c r="D22" s="2">
        <v>2.8</v>
      </c>
      <c r="E22" s="2">
        <v>3.7</v>
      </c>
      <c r="F22" s="2">
        <v>3.2</v>
      </c>
      <c r="G22" s="2">
        <v>3.0</v>
      </c>
      <c r="H22" s="2">
        <v>3.3</v>
      </c>
      <c r="I22" s="2">
        <v>3.9</v>
      </c>
      <c r="J22" s="2">
        <v>3.0</v>
      </c>
      <c r="K22" s="2">
        <v>4.8</v>
      </c>
      <c r="L22"/>
    </row>
    <row r="23">
      <c r="A23" t="inlineStr">
        <is>
          <t>JEAN FRANCO</t>
        </is>
      </c>
      <c r="B23" t="inlineStr">
        <is>
          <t>DEL</t>
        </is>
      </c>
      <c r="C23" t="inlineStr">
        <is>
          <t>lento</t>
        </is>
      </c>
      <c r="D23" s="2">
        <v>2.0</v>
      </c>
      <c r="E23" s="2">
        <v>2.0</v>
      </c>
      <c r="F23" s="2">
        <v>3.0</v>
      </c>
      <c r="G23" s="2">
        <v>3.0</v>
      </c>
      <c r="H23" s="2">
        <v>3.0</v>
      </c>
      <c r="I23" s="2">
        <v>4.0</v>
      </c>
      <c r="J23" s="2">
        <v>2.2</v>
      </c>
      <c r="K23" s="2">
        <v>2.6</v>
      </c>
      <c r="L23"/>
    </row>
    <row r="24">
      <c r="A24" t="inlineStr">
        <is>
          <t>MANU</t>
        </is>
      </c>
      <c r="B24" t="inlineStr">
        <is>
          <t>LAT/MED</t>
        </is>
      </c>
      <c r="C24" t="inlineStr">
        <is>
          <t>rapido</t>
        </is>
      </c>
      <c r="D24" s="2">
        <v>4.2</v>
      </c>
      <c r="E24" s="2">
        <v>4.8</v>
      </c>
      <c r="F24" s="2">
        <v>4.3</v>
      </c>
      <c r="G24" s="2">
        <v>6.0</v>
      </c>
      <c r="H24" s="2">
        <v>4.3</v>
      </c>
      <c r="I24" s="2">
        <v>3.3</v>
      </c>
      <c r="J24" s="2">
        <v>4.8</v>
      </c>
      <c r="K24" s="2"/>
      <c r="L24"/>
    </row>
    <row r="25">
      <c r="A25" t="inlineStr">
        <is>
          <t>MARCELO</t>
        </is>
      </c>
      <c r="B25" t="inlineStr">
        <is>
          <t>MED/LAT</t>
        </is>
      </c>
      <c r="C25" t="inlineStr">
        <is>
          <t>lento</t>
        </is>
      </c>
      <c r="D25" s="2">
        <v>2.7</v>
      </c>
      <c r="E25" s="2">
        <v>1.8</v>
      </c>
      <c r="F25" s="2">
        <v>3.7</v>
      </c>
      <c r="G25" s="2">
        <v>2.2</v>
      </c>
      <c r="H25" s="2">
        <v>4.2</v>
      </c>
      <c r="I25" s="2">
        <v>1.4</v>
      </c>
      <c r="J25" s="2">
        <v>2.6</v>
      </c>
      <c r="K25" s="2">
        <v>3.3</v>
      </c>
      <c r="L25"/>
    </row>
    <row r="26">
      <c r="A26" t="inlineStr">
        <is>
          <t>MARIAN</t>
        </is>
      </c>
      <c r="B26" t="inlineStr">
        <is>
          <t>DEL/MED</t>
        </is>
      </c>
      <c r="C26" t="inlineStr">
        <is>
          <t>lento</t>
        </is>
      </c>
      <c r="D26" s="2">
        <v>4.3</v>
      </c>
      <c r="E26" s="2">
        <v>1.8</v>
      </c>
      <c r="F26" s="2">
        <v>4.1</v>
      </c>
      <c r="G26" s="2">
        <v>2.2</v>
      </c>
      <c r="H26" s="2">
        <v>3.6</v>
      </c>
      <c r="I26" s="2">
        <v>2.8</v>
      </c>
      <c r="J26" s="2">
        <v>3.3</v>
      </c>
      <c r="K26" s="2">
        <v>3.9</v>
      </c>
      <c r="L26"/>
    </row>
    <row r="27">
      <c r="A27" t="inlineStr">
        <is>
          <t>MATI BRAIAN</t>
        </is>
      </c>
      <c r="B27" t="inlineStr">
        <is>
          <t>DEF/MED</t>
        </is>
      </c>
      <c r="C27" t="inlineStr">
        <is>
          <t>rapido</t>
        </is>
      </c>
      <c r="D27" s="2">
        <v>3.6</v>
      </c>
      <c r="E27" s="2">
        <v>3.3</v>
      </c>
      <c r="F27" s="2">
        <v>3.9</v>
      </c>
      <c r="G27" s="2">
        <v>4.8</v>
      </c>
      <c r="H27" s="2">
        <v>2.6</v>
      </c>
      <c r="I27" s="2">
        <v>2.8</v>
      </c>
      <c r="J27" s="2">
        <v>3.3</v>
      </c>
      <c r="K27" s="2">
        <v>3.4</v>
      </c>
      <c r="L27"/>
    </row>
    <row r="28">
      <c r="A28" t="inlineStr">
        <is>
          <t>MATI ROSALES</t>
        </is>
      </c>
      <c r="B28" t="inlineStr">
        <is>
          <t>MED/LAT</t>
        </is>
      </c>
      <c r="C28" t="inlineStr">
        <is>
          <t>rapido</t>
        </is>
      </c>
      <c r="D28" s="2">
        <v>3.9</v>
      </c>
      <c r="E28" s="2">
        <v>4.1</v>
      </c>
      <c r="F28" s="2">
        <v>6.0</v>
      </c>
      <c r="G28" s="2">
        <v>3.6</v>
      </c>
      <c r="H28" s="2">
        <v>5.4</v>
      </c>
      <c r="I28" s="2">
        <v>3.9</v>
      </c>
      <c r="J28" s="2">
        <v>4.3</v>
      </c>
      <c r="K28" s="2"/>
      <c r="L28"/>
    </row>
    <row r="29">
      <c r="A29" t="inlineStr">
        <is>
          <t>MAURI</t>
        </is>
      </c>
      <c r="B29" t="inlineStr">
        <is>
          <t>DEL</t>
        </is>
      </c>
      <c r="C29" t="inlineStr">
        <is>
          <t>rapido</t>
        </is>
      </c>
      <c r="D29" s="2">
        <v>3.9</v>
      </c>
      <c r="E29" s="2">
        <v>2.6</v>
      </c>
      <c r="F29" s="2">
        <v>3.3</v>
      </c>
      <c r="G29" s="2">
        <v>4.0</v>
      </c>
      <c r="H29" s="2">
        <v>3.3</v>
      </c>
      <c r="I29" s="2">
        <v>3.9</v>
      </c>
      <c r="J29" s="2">
        <v>3.6</v>
      </c>
      <c r="K29" s="2">
        <v>3.3</v>
      </c>
      <c r="L29"/>
    </row>
    <row r="30">
      <c r="A30" t="inlineStr">
        <is>
          <t>MAXI</t>
        </is>
      </c>
      <c r="B30" t="inlineStr">
        <is>
          <t>MED</t>
        </is>
      </c>
      <c r="C30" t="inlineStr">
        <is>
          <t>lento</t>
        </is>
      </c>
      <c r="D30" s="2">
        <v>2.8</v>
      </c>
      <c r="E30" s="2">
        <v>1.8</v>
      </c>
      <c r="F30" s="2">
        <v>3.6</v>
      </c>
      <c r="G30" s="2">
        <v>2.0</v>
      </c>
      <c r="H30" s="2">
        <v>3.0</v>
      </c>
      <c r="I30" s="2">
        <v>2.8</v>
      </c>
      <c r="J30" s="2">
        <v>2.2</v>
      </c>
      <c r="K30" s="2">
        <v>2.5</v>
      </c>
      <c r="L30"/>
    </row>
    <row r="31">
      <c r="A31" t="inlineStr">
        <is>
          <t>NICO</t>
        </is>
      </c>
      <c r="B31" t="inlineStr">
        <is>
          <t>MED/LAT</t>
        </is>
      </c>
      <c r="C31" t="inlineStr">
        <is>
          <t>rapido</t>
        </is>
      </c>
      <c r="D31" s="2">
        <v>3.9</v>
      </c>
      <c r="E31" s="2">
        <v>2.6</v>
      </c>
      <c r="F31" s="2">
        <v>3.9</v>
      </c>
      <c r="G31" s="2">
        <v>3.3</v>
      </c>
      <c r="H31" s="2">
        <v>3.9</v>
      </c>
      <c r="I31" s="2">
        <v>3.3</v>
      </c>
      <c r="J31" s="2">
        <v>3.3</v>
      </c>
      <c r="K31" s="2">
        <v>3.3</v>
      </c>
      <c r="L31"/>
    </row>
    <row r="32">
      <c r="A32" t="inlineStr">
        <is>
          <t>PABLO</t>
        </is>
      </c>
      <c r="B32" t="inlineStr">
        <is>
          <t>DEF/LAT</t>
        </is>
      </c>
      <c r="C32" t="inlineStr">
        <is>
          <t>rapido</t>
        </is>
      </c>
      <c r="D32" s="2">
        <v>3.0</v>
      </c>
      <c r="E32" s="2">
        <v>5.0</v>
      </c>
      <c r="F32" s="2">
        <v>3.9</v>
      </c>
      <c r="G32" s="2">
        <v>3.9</v>
      </c>
      <c r="H32" s="2">
        <v>3.9</v>
      </c>
      <c r="I32" s="2">
        <v>5.4</v>
      </c>
      <c r="J32" s="2">
        <v>5.4</v>
      </c>
      <c r="K32" s="2"/>
      <c r="L32"/>
    </row>
    <row r="33">
      <c r="A33" t="inlineStr">
        <is>
          <t>PABLO CASTILLO</t>
        </is>
      </c>
      <c r="B33" t="inlineStr">
        <is>
          <t>LAT/MED</t>
        </is>
      </c>
      <c r="C33" t="inlineStr">
        <is>
          <t>lento</t>
        </is>
      </c>
      <c r="D33" s="2">
        <v>3.0</v>
      </c>
      <c r="E33" s="2">
        <v>3.9</v>
      </c>
      <c r="F33" s="2">
        <v>3.9</v>
      </c>
      <c r="G33" s="2">
        <v>3.0</v>
      </c>
      <c r="H33" s="2">
        <v>4.3</v>
      </c>
      <c r="I33" s="2">
        <v>3.6</v>
      </c>
      <c r="J33" s="2">
        <v>3.0</v>
      </c>
      <c r="K33" s="2">
        <v>3.3</v>
      </c>
      <c r="L33"/>
    </row>
    <row r="34">
      <c r="A34" t="inlineStr">
        <is>
          <t>PABLO GARCIA</t>
        </is>
      </c>
      <c r="B34" t="inlineStr">
        <is>
          <t>MED/LAT</t>
        </is>
      </c>
      <c r="C34" t="inlineStr">
        <is>
          <t>rapido</t>
        </is>
      </c>
      <c r="D34" s="2">
        <v>2.3</v>
      </c>
      <c r="E34" s="2">
        <v>3.0</v>
      </c>
      <c r="F34" s="2">
        <v>2.7</v>
      </c>
      <c r="G34" s="2">
        <v>3.3</v>
      </c>
      <c r="H34" s="2">
        <v>3.3</v>
      </c>
      <c r="I34" s="2">
        <v>4.3</v>
      </c>
      <c r="J34" s="2">
        <v>3.9</v>
      </c>
      <c r="K34" s="2">
        <v>3.3</v>
      </c>
      <c r="L34"/>
    </row>
    <row r="35">
      <c r="A35" t="inlineStr">
        <is>
          <t>PELA</t>
        </is>
      </c>
      <c r="B35" t="inlineStr">
        <is>
          <t>DEL/MED</t>
        </is>
      </c>
      <c r="C35" t="inlineStr">
        <is>
          <t>rapido</t>
        </is>
      </c>
      <c r="D35" s="2">
        <v>4.3</v>
      </c>
      <c r="E35" s="2">
        <v>3.6</v>
      </c>
      <c r="F35" s="2">
        <v>4.3</v>
      </c>
      <c r="G35" s="2">
        <v>3.6</v>
      </c>
      <c r="H35" s="2">
        <v>2.8</v>
      </c>
      <c r="I35" s="2">
        <v>4.3</v>
      </c>
      <c r="J35" s="2">
        <v>2.2</v>
      </c>
      <c r="K35" s="2">
        <v>3.6</v>
      </c>
      <c r="L35"/>
    </row>
    <row r="36">
      <c r="A36" t="inlineStr">
        <is>
          <t>PULY</t>
        </is>
      </c>
      <c r="B36" t="inlineStr">
        <is>
          <t>DEL/MED</t>
        </is>
      </c>
      <c r="C36" t="inlineStr">
        <is>
          <t>lento</t>
        </is>
      </c>
      <c r="D36" s="2">
        <v>3.0</v>
      </c>
      <c r="E36" s="2">
        <v>1.0</v>
      </c>
      <c r="F36" s="2">
        <v>5.0</v>
      </c>
      <c r="G36" s="2">
        <v>2.2</v>
      </c>
      <c r="H36" s="2">
        <v>3.0</v>
      </c>
      <c r="I36" s="2">
        <v>2.2</v>
      </c>
      <c r="J36" s="2">
        <v>2.2</v>
      </c>
      <c r="K36" s="2">
        <v>3.3</v>
      </c>
      <c r="L36"/>
    </row>
    <row r="37">
      <c r="A37" t="inlineStr">
        <is>
          <t>RODRI CHAVEZ</t>
        </is>
      </c>
      <c r="B37" t="inlineStr">
        <is>
          <t>LAT/MED</t>
        </is>
      </c>
      <c r="C37" t="inlineStr">
        <is>
          <t>rapido</t>
        </is>
      </c>
      <c r="D37" s="2">
        <v>3.6</v>
      </c>
      <c r="E37" s="2">
        <v>4.1</v>
      </c>
      <c r="F37" s="2">
        <v>3.9</v>
      </c>
      <c r="G37" s="2">
        <v>4.3</v>
      </c>
      <c r="H37" s="2">
        <v>4.3</v>
      </c>
      <c r="I37" s="2">
        <v>4.8</v>
      </c>
      <c r="J37" s="2">
        <v>4.8</v>
      </c>
      <c r="K37" s="2">
        <v>3.6</v>
      </c>
      <c r="L37"/>
    </row>
    <row r="38">
      <c r="A38" t="inlineStr">
        <is>
          <t>RODRI SUAREZ</t>
        </is>
      </c>
      <c r="B38" t="inlineStr">
        <is>
          <t>DEF/ARQ</t>
        </is>
      </c>
      <c r="C38" t="inlineStr">
        <is>
          <t>lento</t>
        </is>
      </c>
      <c r="D38" s="2">
        <v>2.2</v>
      </c>
      <c r="E38" s="2">
        <v>3.7</v>
      </c>
      <c r="F38" s="2">
        <v>2.8</v>
      </c>
      <c r="G38" s="2">
        <v>3.0</v>
      </c>
      <c r="H38" s="2">
        <v>3.6</v>
      </c>
      <c r="I38" s="2">
        <v>3.9</v>
      </c>
      <c r="J38" s="2">
        <v>3.9</v>
      </c>
      <c r="K38" s="2">
        <v>3.9</v>
      </c>
      <c r="L38"/>
    </row>
    <row r="39">
      <c r="A39" t="inlineStr">
        <is>
          <t>SANTI</t>
        </is>
      </c>
      <c r="B39" t="inlineStr">
        <is>
          <t>ARQ/MED</t>
        </is>
      </c>
      <c r="C39" t="inlineStr">
        <is>
          <t>rapido</t>
        </is>
      </c>
      <c r="D39" s="2">
        <v>3.0</v>
      </c>
      <c r="E39" s="2">
        <v>3.0</v>
      </c>
      <c r="F39" s="2">
        <v>5.0</v>
      </c>
      <c r="G39" s="2">
        <v>4.0</v>
      </c>
      <c r="H39" s="2">
        <v>3.0</v>
      </c>
      <c r="I39" s="2">
        <v>3.0</v>
      </c>
      <c r="J39" s="2">
        <v>4.0</v>
      </c>
      <c r="K39" s="2">
        <v>3.3</v>
      </c>
      <c r="L39"/>
    </row>
    <row r="40">
      <c r="A40" t="inlineStr">
        <is>
          <t>SEBACORTEZ</t>
        </is>
      </c>
      <c r="B40" t="inlineStr">
        <is>
          <t>DEF/ARQ</t>
        </is>
      </c>
      <c r="C40" t="inlineStr">
        <is>
          <t>lento</t>
        </is>
      </c>
      <c r="D40" s="2">
        <v>3.3</v>
      </c>
      <c r="E40" s="2">
        <v>4.1</v>
      </c>
      <c r="F40" s="2">
        <v>3.9</v>
      </c>
      <c r="G40" s="2">
        <v>2.8</v>
      </c>
      <c r="H40" s="2">
        <v>3.6</v>
      </c>
      <c r="I40" s="2">
        <v>4.3</v>
      </c>
      <c r="J40" s="2">
        <v>3.0</v>
      </c>
      <c r="K40" s="2">
        <v>4.8</v>
      </c>
      <c r="L40"/>
    </row>
    <row r="41">
      <c r="A41" t="inlineStr">
        <is>
          <t>TEBO</t>
        </is>
      </c>
      <c r="B41" t="inlineStr">
        <is>
          <t>MED/DEL</t>
        </is>
      </c>
      <c r="C41" t="inlineStr">
        <is>
          <t>rapido</t>
        </is>
      </c>
      <c r="D41" s="2">
        <v>4.3</v>
      </c>
      <c r="E41" s="2">
        <v>3.9</v>
      </c>
      <c r="F41" s="2">
        <v>4.8</v>
      </c>
      <c r="G41" s="2">
        <v>4.8</v>
      </c>
      <c r="H41" s="2">
        <v>4.2</v>
      </c>
      <c r="I41" s="2">
        <v>4.8</v>
      </c>
      <c r="J41" s="2">
        <v>5.4</v>
      </c>
      <c r="K41" s="2">
        <v>3.9</v>
      </c>
      <c r="L41"/>
    </row>
    <row r="42">
      <c r="A42" t="inlineStr">
        <is>
          <t>VICTOR</t>
        </is>
      </c>
      <c r="B42" t="inlineStr">
        <is>
          <t>DEF/LAT</t>
        </is>
      </c>
      <c r="C42" t="inlineStr">
        <is>
          <t>rapido</t>
        </is>
      </c>
      <c r="D42" s="2">
        <v>3.3</v>
      </c>
      <c r="E42" s="2">
        <v>4.2</v>
      </c>
      <c r="F42" s="2">
        <v>4.6</v>
      </c>
      <c r="G42" s="2">
        <v>3.3</v>
      </c>
      <c r="H42" s="2">
        <v>4.8</v>
      </c>
      <c r="I42" s="2">
        <v>3.9</v>
      </c>
      <c r="J42" s="2">
        <v>3.9</v>
      </c>
      <c r="K42" s="2">
        <v>3.6</v>
      </c>
      <c r="L42"/>
    </row>
    <row r="43">
      <c r="A43" t="inlineStr">
        <is>
          <t>VIKINGO</t>
        </is>
      </c>
      <c r="B43" t="inlineStr">
        <is>
          <t>MED/LAT</t>
        </is>
      </c>
      <c r="C43" t="inlineStr">
        <is>
          <t>rapido</t>
        </is>
      </c>
      <c r="D43" s="2">
        <v>3.6</v>
      </c>
      <c r="E43" s="2">
        <v>3.9</v>
      </c>
      <c r="F43" s="2">
        <v>4.2</v>
      </c>
      <c r="G43" s="2">
        <v>4.8</v>
      </c>
      <c r="H43" s="2">
        <v>2.6</v>
      </c>
      <c r="I43" s="2">
        <v>2.6</v>
      </c>
      <c r="J43" s="2">
        <v>2.2</v>
      </c>
      <c r="K43" s="2">
        <v>3.9</v>
      </c>
      <c r="L43"/>
    </row>
  </sheetData>
  <autoFilter ref="A1:L4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3"/>
  <sheetViews>
    <sheetView workbookViewId="0">
      <pane ySplit="1" topLeftCell="A2" activePane="bottomLeft" state="frozen"/>
    </sheetView>
  </sheetViews>
  <cols>
    <col min="1" max="1" width="24" customWidth="1"/>
    <col min="2" max="2" width="13" customWidth="1"/>
    <col min="3" max="3" width="12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2" customWidth="1"/>
    <col min="10" max="10" width="12" customWidth="1"/>
    <col min="11" max="11" width="10" customWidth="1"/>
    <col min="12" max="12" width="28" customWidth="1"/>
  </cols>
  <sheetData>
    <row r="1">
      <c r="A1" t="inlineStr" s="1">
        <is>
          <t>Nombre jugador</t>
        </is>
      </c>
      <c r="B1" t="inlineStr" s="1">
        <is>
          <t>Posiciones</t>
        </is>
      </c>
      <c r="C1" t="inlineStr" s="1">
        <is>
          <t>Ritmo base</t>
        </is>
      </c>
      <c r="D1" t="inlineStr" s="1">
        <is>
          <t>Ataque</t>
        </is>
      </c>
      <c r="E1" t="inlineStr" s="1">
        <is>
          <t>Solidez</t>
        </is>
      </c>
      <c r="F1" t="inlineStr" s="1">
        <is>
          <t>Tecnica</t>
        </is>
      </c>
      <c r="G1" t="inlineStr" s="1">
        <is>
          <t>Ritmo</t>
        </is>
      </c>
      <c r="H1" t="inlineStr" s="1">
        <is>
          <t>Equipo</t>
        </is>
      </c>
      <c r="I1" t="inlineStr" s="1">
        <is>
          <t>Mentalidad</t>
        </is>
      </c>
      <c r="J1" t="inlineStr" s="1">
        <is>
          <t>Regularidad</t>
        </is>
      </c>
      <c r="K1" t="inlineStr" s="1">
        <is>
          <t>Arquero</t>
        </is>
      </c>
      <c r="L1" t="inlineStr" s="1">
        <is>
          <t>Comentarios</t>
        </is>
      </c>
    </row>
    <row r="2">
      <c r="A2" t="inlineStr">
        <is>
          <t>ALE CUERVO</t>
        </is>
      </c>
      <c r="B2" t="inlineStr">
        <is>
          <t>LAT/MED</t>
        </is>
      </c>
      <c r="C2" t="inlineStr">
        <is>
          <t>lento</t>
        </is>
      </c>
      <c r="D2" s="2">
        <v>2.8</v>
      </c>
      <c r="E2" s="2">
        <v>2.6</v>
      </c>
      <c r="F2" s="2">
        <v>3.3</v>
      </c>
      <c r="G2" s="2">
        <v>3.0</v>
      </c>
      <c r="H2" s="2">
        <v>3.0</v>
      </c>
      <c r="I2" s="2">
        <v>2.2</v>
      </c>
      <c r="J2" s="2">
        <v>2.8</v>
      </c>
      <c r="K2" s="2">
        <v>3.6</v>
      </c>
      <c r="L2"/>
    </row>
    <row r="3">
      <c r="A3" t="inlineStr">
        <is>
          <t>ALEXIS</t>
        </is>
      </c>
      <c r="B3" t="inlineStr">
        <is>
          <t>LAT/MED</t>
        </is>
      </c>
      <c r="C3" t="inlineStr">
        <is>
          <t>rapido</t>
        </is>
      </c>
      <c r="D3" s="2">
        <v>3.6</v>
      </c>
      <c r="E3" s="2">
        <v>3.6</v>
      </c>
      <c r="F3" s="2">
        <v>3.9</v>
      </c>
      <c r="G3" s="2">
        <v>4.8</v>
      </c>
      <c r="H3" s="2">
        <v>3.3</v>
      </c>
      <c r="I3" s="2">
        <v>4.3</v>
      </c>
      <c r="J3" s="2">
        <v>4.8</v>
      </c>
      <c r="K3" s="2">
        <v>3.3</v>
      </c>
      <c r="L3"/>
    </row>
    <row r="4">
      <c r="A4" t="inlineStr">
        <is>
          <t>ANIBAL</t>
        </is>
      </c>
      <c r="B4" t="inlineStr">
        <is>
          <t>DEL</t>
        </is>
      </c>
      <c r="C4" t="inlineStr">
        <is>
          <t>lento</t>
        </is>
      </c>
      <c r="D4" s="2">
        <v>3.7</v>
      </c>
      <c r="E4" s="2">
        <v>1.8</v>
      </c>
      <c r="F4" s="2">
        <v>3.6</v>
      </c>
      <c r="G4" s="2">
        <v>1.4</v>
      </c>
      <c r="H4" s="2">
        <v>1.8</v>
      </c>
      <c r="I4" s="2">
        <v>2.2</v>
      </c>
      <c r="J4" s="2">
        <v>2.8</v>
      </c>
      <c r="K4" s="2">
        <v>4.3</v>
      </c>
      <c r="L4"/>
    </row>
    <row r="5">
      <c r="A5" t="inlineStr">
        <is>
          <t>AUGUSTO</t>
        </is>
      </c>
      <c r="B5" t="inlineStr">
        <is>
          <t>MED/LAT</t>
        </is>
      </c>
      <c r="C5" t="inlineStr">
        <is>
          <t>rapido</t>
        </is>
      </c>
      <c r="D5" s="2">
        <v>3.7</v>
      </c>
      <c r="E5" s="2">
        <v>3.3</v>
      </c>
      <c r="F5" s="2">
        <v>4.3</v>
      </c>
      <c r="G5" s="2">
        <v>4.3</v>
      </c>
      <c r="H5" s="2">
        <v>3.9</v>
      </c>
      <c r="I5" s="2">
        <v>2.8</v>
      </c>
      <c r="J5" s="2">
        <v>2.6</v>
      </c>
      <c r="K5" s="2">
        <v>3.6</v>
      </c>
      <c r="L5"/>
    </row>
    <row r="6">
      <c r="A6" t="inlineStr">
        <is>
          <t>BETO</t>
        </is>
      </c>
      <c r="B6" t="inlineStr">
        <is>
          <t>DEL/MED</t>
        </is>
      </c>
      <c r="C6" t="inlineStr">
        <is>
          <t>lento</t>
        </is>
      </c>
      <c r="D6" s="2">
        <v>3.7</v>
      </c>
      <c r="E6" s="2">
        <v>1.8</v>
      </c>
      <c r="F6" s="2">
        <v>3.6</v>
      </c>
      <c r="G6" s="2">
        <v>2.2</v>
      </c>
      <c r="H6" s="2">
        <v>3.0</v>
      </c>
      <c r="I6" s="2">
        <v>3.6</v>
      </c>
      <c r="J6" s="2">
        <v>4.0</v>
      </c>
      <c r="K6" s="2">
        <v>3.3</v>
      </c>
      <c r="L6"/>
    </row>
    <row r="7">
      <c r="A7" t="inlineStr">
        <is>
          <t>BRIAN</t>
        </is>
      </c>
      <c r="B7" t="inlineStr">
        <is>
          <t>DEL/MED</t>
        </is>
      </c>
      <c r="C7" t="inlineStr">
        <is>
          <t>rapido</t>
        </is>
      </c>
      <c r="D7" s="2">
        <v>5.4</v>
      </c>
      <c r="E7" s="2">
        <v>3.9</v>
      </c>
      <c r="F7" s="2">
        <v>5.4</v>
      </c>
      <c r="G7" s="2">
        <v>3.9</v>
      </c>
      <c r="H7" s="2">
        <v>4.3</v>
      </c>
      <c r="I7" s="2">
        <v>2.8</v>
      </c>
      <c r="J7" s="2">
        <v>4.8</v>
      </c>
      <c r="K7" s="2"/>
      <c r="L7"/>
    </row>
    <row r="8">
      <c r="A8" t="inlineStr">
        <is>
          <t>CAMILO</t>
        </is>
      </c>
      <c r="B8" t="inlineStr">
        <is>
          <t>MED/DEL</t>
        </is>
      </c>
      <c r="C8" t="inlineStr">
        <is>
          <t>rapido</t>
        </is>
      </c>
      <c r="D8" s="2">
        <v>3.9</v>
      </c>
      <c r="E8" s="2">
        <v>3.0</v>
      </c>
      <c r="F8" s="2">
        <v>5.0</v>
      </c>
      <c r="G8" s="2">
        <v>4.3</v>
      </c>
      <c r="H8" s="2">
        <v>4.0</v>
      </c>
      <c r="I8" s="2">
        <v>4.0</v>
      </c>
      <c r="J8" s="2">
        <v>4.0</v>
      </c>
      <c r="K8" s="2">
        <v>3.3</v>
      </c>
      <c r="L8"/>
    </row>
    <row r="9">
      <c r="A9" t="inlineStr">
        <is>
          <t>CESAR</t>
        </is>
      </c>
      <c r="B9" t="inlineStr">
        <is>
          <t>DEF/LAT</t>
        </is>
      </c>
      <c r="C9" t="inlineStr">
        <is>
          <t>rapido</t>
        </is>
      </c>
      <c r="D9" s="2">
        <v>3.6</v>
      </c>
      <c r="E9" s="2">
        <v>4.6</v>
      </c>
      <c r="F9" s="2">
        <v>4.3</v>
      </c>
      <c r="G9" s="2">
        <v>3.3</v>
      </c>
      <c r="H9" s="2">
        <v>4.1</v>
      </c>
      <c r="I9" s="2">
        <v>3.6</v>
      </c>
      <c r="J9" s="2">
        <v>4.8</v>
      </c>
      <c r="K9" s="2"/>
      <c r="L9"/>
    </row>
    <row r="10">
      <c r="A10" t="inlineStr">
        <is>
          <t>COMANCHE</t>
        </is>
      </c>
      <c r="B10" t="inlineStr">
        <is>
          <t>LAT/MED</t>
        </is>
      </c>
      <c r="C10" t="inlineStr">
        <is>
          <t>lento</t>
        </is>
      </c>
      <c r="D10" s="2">
        <v>2.8</v>
      </c>
      <c r="E10" s="2">
        <v>2.7</v>
      </c>
      <c r="F10" s="2">
        <v>3.6</v>
      </c>
      <c r="G10" s="2">
        <v>2.0</v>
      </c>
      <c r="H10" s="2">
        <v>1.8</v>
      </c>
      <c r="I10" s="2">
        <v>3.0</v>
      </c>
      <c r="J10" s="2">
        <v>3.0</v>
      </c>
      <c r="K10" s="2">
        <v>3.9</v>
      </c>
      <c r="L10"/>
    </row>
    <row r="11">
      <c r="A11" t="inlineStr">
        <is>
          <t>CRISTIAN</t>
        </is>
      </c>
      <c r="B11" t="inlineStr">
        <is>
          <t>DEL/ARQ</t>
        </is>
      </c>
      <c r="C11" t="inlineStr">
        <is>
          <t>lento</t>
        </is>
      </c>
      <c r="D11" s="2">
        <v>2.6</v>
      </c>
      <c r="E11" s="2">
        <v>1.4</v>
      </c>
      <c r="F11" s="2">
        <v>2.8</v>
      </c>
      <c r="G11" s="2">
        <v>2.2</v>
      </c>
      <c r="H11" s="2">
        <v>2.8</v>
      </c>
      <c r="I11" s="2">
        <v>3.9</v>
      </c>
      <c r="J11" s="2">
        <v>2.8</v>
      </c>
      <c r="K11" s="2">
        <v>3.6</v>
      </c>
      <c r="L11"/>
    </row>
    <row r="12">
      <c r="A12" t="inlineStr">
        <is>
          <t>CUERVO</t>
        </is>
      </c>
      <c r="B12" t="inlineStr">
        <is>
          <t>DEL/DEF</t>
        </is>
      </c>
      <c r="C12" t="inlineStr">
        <is>
          <t>rapido</t>
        </is>
      </c>
      <c r="D12" s="2">
        <v>6.0</v>
      </c>
      <c r="E12" s="2">
        <v>3.6</v>
      </c>
      <c r="F12" s="2">
        <v>5.4</v>
      </c>
      <c r="G12" s="2">
        <v>3.6</v>
      </c>
      <c r="H12" s="2">
        <v>2.8</v>
      </c>
      <c r="I12" s="2">
        <v>3.3</v>
      </c>
      <c r="J12" s="2">
        <v>2.8</v>
      </c>
      <c r="K12" s="2"/>
      <c r="L12"/>
    </row>
    <row r="13">
      <c r="A13" t="inlineStr">
        <is>
          <t>ELIAN</t>
        </is>
      </c>
      <c r="B13" t="inlineStr">
        <is>
          <t>DEF/DEL</t>
        </is>
      </c>
      <c r="C13" t="inlineStr">
        <is>
          <t>lento</t>
        </is>
      </c>
      <c r="D13" s="2">
        <v>2.2</v>
      </c>
      <c r="E13" s="2">
        <v>1.4</v>
      </c>
      <c r="F13" s="2">
        <v>2.9</v>
      </c>
      <c r="G13" s="2">
        <v>1.4</v>
      </c>
      <c r="H13" s="2">
        <v>2.8</v>
      </c>
      <c r="I13" s="2">
        <v>2.8</v>
      </c>
      <c r="J13" s="2">
        <v>2.0</v>
      </c>
      <c r="K13" s="2">
        <v>3.3</v>
      </c>
      <c r="L13"/>
    </row>
    <row r="14">
      <c r="A14" t="inlineStr">
        <is>
          <t>FACU</t>
        </is>
      </c>
      <c r="B14" t="inlineStr">
        <is>
          <t>DEF/DEL</t>
        </is>
      </c>
      <c r="C14" t="inlineStr">
        <is>
          <t>lento</t>
        </is>
      </c>
      <c r="D14" s="2">
        <v>2.6</v>
      </c>
      <c r="E14" s="2">
        <v>4.1</v>
      </c>
      <c r="F14" s="2">
        <v>2.9</v>
      </c>
      <c r="G14" s="2">
        <v>2.8</v>
      </c>
      <c r="H14" s="2">
        <v>3.0</v>
      </c>
      <c r="I14" s="2">
        <v>2.6</v>
      </c>
      <c r="J14" s="2">
        <v>3.9</v>
      </c>
      <c r="K14" s="2">
        <v>2.8</v>
      </c>
      <c r="L14"/>
    </row>
    <row r="15">
      <c r="A15" t="inlineStr">
        <is>
          <t>FRANCISCO</t>
        </is>
      </c>
      <c r="B15" t="inlineStr">
        <is>
          <t>ARQ/DEL</t>
        </is>
      </c>
      <c r="C15" t="inlineStr">
        <is>
          <t>lento</t>
        </is>
      </c>
      <c r="D15" s="2">
        <v>1.4</v>
      </c>
      <c r="E15" s="2">
        <v>2.2</v>
      </c>
      <c r="F15" s="2">
        <v>1.4</v>
      </c>
      <c r="G15" s="2">
        <v>3.0</v>
      </c>
      <c r="H15" s="2">
        <v>2.2</v>
      </c>
      <c r="I15" s="2">
        <v>3.6</v>
      </c>
      <c r="J15" s="2">
        <v>2.8</v>
      </c>
      <c r="K15" s="2">
        <v>3.6</v>
      </c>
      <c r="L15"/>
    </row>
    <row r="16">
      <c r="A16" t="inlineStr">
        <is>
          <t>FRANCO COMOLLI</t>
        </is>
      </c>
      <c r="B16" t="inlineStr">
        <is>
          <t>MED/DEL</t>
        </is>
      </c>
      <c r="C16" t="inlineStr">
        <is>
          <t>rapido</t>
        </is>
      </c>
      <c r="D16" s="2">
        <v>4.3</v>
      </c>
      <c r="E16" s="2">
        <v>4.3</v>
      </c>
      <c r="F16" s="2">
        <v>5.0</v>
      </c>
      <c r="G16" s="2">
        <v>4.8</v>
      </c>
      <c r="H16" s="2">
        <v>4.8</v>
      </c>
      <c r="I16" s="2">
        <v>4.8</v>
      </c>
      <c r="J16" s="2">
        <v>5.4</v>
      </c>
      <c r="K16" s="2">
        <v>3.3</v>
      </c>
      <c r="L16"/>
    </row>
    <row r="17">
      <c r="A17" t="inlineStr">
        <is>
          <t>FRANCOK</t>
        </is>
      </c>
      <c r="B17" t="inlineStr">
        <is>
          <t>ARQ/LAT</t>
        </is>
      </c>
      <c r="C17" t="inlineStr">
        <is>
          <t>rapido</t>
        </is>
      </c>
      <c r="D17" s="2">
        <v>1.4</v>
      </c>
      <c r="E17" s="2">
        <v>2.8</v>
      </c>
      <c r="F17" s="2">
        <v>2.6</v>
      </c>
      <c r="G17" s="2">
        <v>3.6</v>
      </c>
      <c r="H17" s="2">
        <v>3.0</v>
      </c>
      <c r="I17" s="2">
        <v>3.0</v>
      </c>
      <c r="J17" s="2">
        <v>3.3</v>
      </c>
      <c r="K17" s="2">
        <v>3.9</v>
      </c>
      <c r="L17"/>
    </row>
    <row r="18">
      <c r="A18" t="inlineStr">
        <is>
          <t>FRANQUITO</t>
        </is>
      </c>
      <c r="B18" t="inlineStr">
        <is>
          <t>MED</t>
        </is>
      </c>
      <c r="C18" t="inlineStr">
        <is>
          <t>rapido</t>
        </is>
      </c>
      <c r="D18" s="2">
        <v>3.4</v>
      </c>
      <c r="E18" s="2">
        <v>3.0</v>
      </c>
      <c r="F18" s="2">
        <v>3.9</v>
      </c>
      <c r="G18" s="2">
        <v>4.3</v>
      </c>
      <c r="H18" s="2">
        <v>3.3</v>
      </c>
      <c r="I18" s="2">
        <v>3.3</v>
      </c>
      <c r="J18" s="2">
        <v>4.0</v>
      </c>
      <c r="K18" s="2">
        <v>3.6</v>
      </c>
      <c r="L18"/>
    </row>
    <row r="19">
      <c r="A19" t="inlineStr">
        <is>
          <t>GONZA</t>
        </is>
      </c>
      <c r="B19" t="inlineStr">
        <is>
          <t>ARQ/DEF</t>
        </is>
      </c>
      <c r="C19" t="inlineStr">
        <is>
          <t>lento</t>
        </is>
      </c>
      <c r="D19" s="2">
        <v>2.6</v>
      </c>
      <c r="E19" s="2">
        <v>3.9</v>
      </c>
      <c r="F19" s="2">
        <v>3.0</v>
      </c>
      <c r="G19" s="2">
        <v>3.0</v>
      </c>
      <c r="H19" s="2">
        <v>3.3</v>
      </c>
      <c r="I19" s="2">
        <v>3.3</v>
      </c>
      <c r="J19" s="2">
        <v>3.9</v>
      </c>
      <c r="K19" s="2">
        <v>3.9</v>
      </c>
      <c r="L19"/>
    </row>
    <row r="20">
      <c r="A20" t="inlineStr">
        <is>
          <t>GUILLE</t>
        </is>
      </c>
      <c r="B20" t="inlineStr">
        <is>
          <t>LAT/ARQ</t>
        </is>
      </c>
      <c r="C20" t="inlineStr">
        <is>
          <t>lento</t>
        </is>
      </c>
      <c r="D20" s="2">
        <v>2.2</v>
      </c>
      <c r="E20" s="2">
        <v>1.4</v>
      </c>
      <c r="F20" s="2">
        <v>2.6</v>
      </c>
      <c r="G20" s="2">
        <v>1.4</v>
      </c>
      <c r="H20" s="2">
        <v>2.8</v>
      </c>
      <c r="I20" s="2">
        <v>3.9</v>
      </c>
      <c r="J20" s="2">
        <v>2.8</v>
      </c>
      <c r="K20" s="2">
        <v>3.3</v>
      </c>
      <c r="L20"/>
    </row>
    <row r="21">
      <c r="A21" t="inlineStr">
        <is>
          <t>ISMA</t>
        </is>
      </c>
      <c r="B21" t="inlineStr">
        <is>
          <t>MED/LAT</t>
        </is>
      </c>
      <c r="C21" t="inlineStr">
        <is>
          <t>rapido</t>
        </is>
      </c>
      <c r="D21" s="2">
        <v>3.6</v>
      </c>
      <c r="E21" s="2">
        <v>3.9</v>
      </c>
      <c r="F21" s="2">
        <v>4.8</v>
      </c>
      <c r="G21" s="2">
        <v>3.9</v>
      </c>
      <c r="H21" s="2">
        <v>4.6</v>
      </c>
      <c r="I21" s="2">
        <v>4.3</v>
      </c>
      <c r="J21" s="2">
        <v>4.3</v>
      </c>
      <c r="K21" s="2">
        <v>3.6</v>
      </c>
      <c r="L21"/>
    </row>
    <row r="22">
      <c r="A22" t="inlineStr">
        <is>
          <t>JAVI</t>
        </is>
      </c>
      <c r="B22" t="inlineStr">
        <is>
          <t>DEF/ARQ</t>
        </is>
      </c>
      <c r="C22" t="inlineStr">
        <is>
          <t>lento</t>
        </is>
      </c>
      <c r="D22" s="2">
        <v>2.8</v>
      </c>
      <c r="E22" s="2">
        <v>3.7</v>
      </c>
      <c r="F22" s="2">
        <v>3.2</v>
      </c>
      <c r="G22" s="2">
        <v>3.0</v>
      </c>
      <c r="H22" s="2">
        <v>3.3</v>
      </c>
      <c r="I22" s="2">
        <v>3.9</v>
      </c>
      <c r="J22" s="2">
        <v>3.0</v>
      </c>
      <c r="K22" s="2">
        <v>4.8</v>
      </c>
      <c r="L22"/>
    </row>
    <row r="23">
      <c r="A23" t="inlineStr">
        <is>
          <t>JEAN FRANCO</t>
        </is>
      </c>
      <c r="B23" t="inlineStr">
        <is>
          <t>DEL</t>
        </is>
      </c>
      <c r="C23" t="inlineStr">
        <is>
          <t>lento</t>
        </is>
      </c>
      <c r="D23" s="2">
        <v>2.0</v>
      </c>
      <c r="E23" s="2">
        <v>2.0</v>
      </c>
      <c r="F23" s="2">
        <v>3.0</v>
      </c>
      <c r="G23" s="2">
        <v>3.0</v>
      </c>
      <c r="H23" s="2">
        <v>3.0</v>
      </c>
      <c r="I23" s="2">
        <v>4.0</v>
      </c>
      <c r="J23" s="2">
        <v>2.2</v>
      </c>
      <c r="K23" s="2">
        <v>2.6</v>
      </c>
      <c r="L23"/>
    </row>
    <row r="24">
      <c r="A24" t="inlineStr">
        <is>
          <t>MANU</t>
        </is>
      </c>
      <c r="B24" t="inlineStr">
        <is>
          <t>LAT/MED</t>
        </is>
      </c>
      <c r="C24" t="inlineStr">
        <is>
          <t>rapido</t>
        </is>
      </c>
      <c r="D24" s="2">
        <v>4.2</v>
      </c>
      <c r="E24" s="2">
        <v>4.8</v>
      </c>
      <c r="F24" s="2">
        <v>4.3</v>
      </c>
      <c r="G24" s="2">
        <v>6.0</v>
      </c>
      <c r="H24" s="2">
        <v>4.3</v>
      </c>
      <c r="I24" s="2">
        <v>3.3</v>
      </c>
      <c r="J24" s="2">
        <v>4.8</v>
      </c>
      <c r="K24" s="2"/>
      <c r="L24"/>
    </row>
    <row r="25">
      <c r="A25" t="inlineStr">
        <is>
          <t>MARCELO</t>
        </is>
      </c>
      <c r="B25" t="inlineStr">
        <is>
          <t>MED/LAT</t>
        </is>
      </c>
      <c r="C25" t="inlineStr">
        <is>
          <t>lento</t>
        </is>
      </c>
      <c r="D25" s="2">
        <v>2.7</v>
      </c>
      <c r="E25" s="2">
        <v>1.8</v>
      </c>
      <c r="F25" s="2">
        <v>3.7</v>
      </c>
      <c r="G25" s="2">
        <v>2.2</v>
      </c>
      <c r="H25" s="2">
        <v>4.2</v>
      </c>
      <c r="I25" s="2">
        <v>1.4</v>
      </c>
      <c r="J25" s="2">
        <v>2.6</v>
      </c>
      <c r="K25" s="2">
        <v>3.3</v>
      </c>
      <c r="L25"/>
    </row>
    <row r="26">
      <c r="A26" t="inlineStr">
        <is>
          <t>MARIAN</t>
        </is>
      </c>
      <c r="B26" t="inlineStr">
        <is>
          <t>DEL/MED</t>
        </is>
      </c>
      <c r="C26" t="inlineStr">
        <is>
          <t>lento</t>
        </is>
      </c>
      <c r="D26" s="2">
        <v>4.3</v>
      </c>
      <c r="E26" s="2">
        <v>1.8</v>
      </c>
      <c r="F26" s="2">
        <v>4.1</v>
      </c>
      <c r="G26" s="2">
        <v>2.2</v>
      </c>
      <c r="H26" s="2">
        <v>3.6</v>
      </c>
      <c r="I26" s="2">
        <v>2.8</v>
      </c>
      <c r="J26" s="2">
        <v>3.3</v>
      </c>
      <c r="K26" s="2">
        <v>3.9</v>
      </c>
      <c r="L26"/>
    </row>
    <row r="27">
      <c r="A27" t="inlineStr">
        <is>
          <t>MATI BRAIAN</t>
        </is>
      </c>
      <c r="B27" t="inlineStr">
        <is>
          <t>DEF/MED</t>
        </is>
      </c>
      <c r="C27" t="inlineStr">
        <is>
          <t>rapido</t>
        </is>
      </c>
      <c r="D27" s="2">
        <v>3.6</v>
      </c>
      <c r="E27" s="2">
        <v>3.3</v>
      </c>
      <c r="F27" s="2">
        <v>3.9</v>
      </c>
      <c r="G27" s="2">
        <v>4.8</v>
      </c>
      <c r="H27" s="2">
        <v>2.6</v>
      </c>
      <c r="I27" s="2">
        <v>2.8</v>
      </c>
      <c r="J27" s="2">
        <v>3.3</v>
      </c>
      <c r="K27" s="2">
        <v>3.4</v>
      </c>
      <c r="L27"/>
    </row>
    <row r="28">
      <c r="A28" t="inlineStr">
        <is>
          <t>MATI ROSALES</t>
        </is>
      </c>
      <c r="B28" t="inlineStr">
        <is>
          <t>MED/LAT</t>
        </is>
      </c>
      <c r="C28" t="inlineStr">
        <is>
          <t>rapido</t>
        </is>
      </c>
      <c r="D28" s="2">
        <v>3.9</v>
      </c>
      <c r="E28" s="2">
        <v>4.1</v>
      </c>
      <c r="F28" s="2">
        <v>6.0</v>
      </c>
      <c r="G28" s="2">
        <v>3.6</v>
      </c>
      <c r="H28" s="2">
        <v>5.4</v>
      </c>
      <c r="I28" s="2">
        <v>3.9</v>
      </c>
      <c r="J28" s="2">
        <v>4.3</v>
      </c>
      <c r="K28" s="2"/>
      <c r="L28"/>
    </row>
    <row r="29">
      <c r="A29" t="inlineStr">
        <is>
          <t>MAURI</t>
        </is>
      </c>
      <c r="B29" t="inlineStr">
        <is>
          <t>DEL</t>
        </is>
      </c>
      <c r="C29" t="inlineStr">
        <is>
          <t>rapido</t>
        </is>
      </c>
      <c r="D29" s="2">
        <v>3.9</v>
      </c>
      <c r="E29" s="2">
        <v>2.6</v>
      </c>
      <c r="F29" s="2">
        <v>3.3</v>
      </c>
      <c r="G29" s="2">
        <v>4.0</v>
      </c>
      <c r="H29" s="2">
        <v>3.3</v>
      </c>
      <c r="I29" s="2">
        <v>3.9</v>
      </c>
      <c r="J29" s="2">
        <v>3.6</v>
      </c>
      <c r="K29" s="2">
        <v>3.3</v>
      </c>
      <c r="L29"/>
    </row>
    <row r="30">
      <c r="A30" t="inlineStr">
        <is>
          <t>MAXI</t>
        </is>
      </c>
      <c r="B30" t="inlineStr">
        <is>
          <t>MED</t>
        </is>
      </c>
      <c r="C30" t="inlineStr">
        <is>
          <t>lento</t>
        </is>
      </c>
      <c r="D30" s="2">
        <v>2.8</v>
      </c>
      <c r="E30" s="2">
        <v>1.8</v>
      </c>
      <c r="F30" s="2">
        <v>3.6</v>
      </c>
      <c r="G30" s="2">
        <v>2.0</v>
      </c>
      <c r="H30" s="2">
        <v>3.0</v>
      </c>
      <c r="I30" s="2">
        <v>2.8</v>
      </c>
      <c r="J30" s="2">
        <v>2.2</v>
      </c>
      <c r="K30" s="2">
        <v>2.5</v>
      </c>
      <c r="L30"/>
    </row>
    <row r="31">
      <c r="A31" t="inlineStr">
        <is>
          <t>NICO</t>
        </is>
      </c>
      <c r="B31" t="inlineStr">
        <is>
          <t>MED/LAT</t>
        </is>
      </c>
      <c r="C31" t="inlineStr">
        <is>
          <t>rapido</t>
        </is>
      </c>
      <c r="D31" s="2">
        <v>3.9</v>
      </c>
      <c r="E31" s="2">
        <v>2.6</v>
      </c>
      <c r="F31" s="2">
        <v>3.9</v>
      </c>
      <c r="G31" s="2">
        <v>3.3</v>
      </c>
      <c r="H31" s="2">
        <v>3.9</v>
      </c>
      <c r="I31" s="2">
        <v>3.3</v>
      </c>
      <c r="J31" s="2">
        <v>3.3</v>
      </c>
      <c r="K31" s="2">
        <v>3.3</v>
      </c>
      <c r="L31"/>
    </row>
    <row r="32">
      <c r="A32" t="inlineStr">
        <is>
          <t>PABLO</t>
        </is>
      </c>
      <c r="B32" t="inlineStr">
        <is>
          <t>DEF/LAT</t>
        </is>
      </c>
      <c r="C32" t="inlineStr">
        <is>
          <t>rapido</t>
        </is>
      </c>
      <c r="D32" s="2">
        <v>3.0</v>
      </c>
      <c r="E32" s="2">
        <v>5.0</v>
      </c>
      <c r="F32" s="2">
        <v>3.9</v>
      </c>
      <c r="G32" s="2">
        <v>3.9</v>
      </c>
      <c r="H32" s="2">
        <v>3.9</v>
      </c>
      <c r="I32" s="2">
        <v>5.4</v>
      </c>
      <c r="J32" s="2">
        <v>5.4</v>
      </c>
      <c r="K32" s="2"/>
      <c r="L32"/>
    </row>
    <row r="33">
      <c r="A33" t="inlineStr">
        <is>
          <t>PABLO CASTILLO</t>
        </is>
      </c>
      <c r="B33" t="inlineStr">
        <is>
          <t>LAT/MED</t>
        </is>
      </c>
      <c r="C33" t="inlineStr">
        <is>
          <t>lento</t>
        </is>
      </c>
      <c r="D33" s="2">
        <v>3.0</v>
      </c>
      <c r="E33" s="2">
        <v>3.9</v>
      </c>
      <c r="F33" s="2">
        <v>3.9</v>
      </c>
      <c r="G33" s="2">
        <v>3.0</v>
      </c>
      <c r="H33" s="2">
        <v>4.3</v>
      </c>
      <c r="I33" s="2">
        <v>3.6</v>
      </c>
      <c r="J33" s="2">
        <v>3.0</v>
      </c>
      <c r="K33" s="2">
        <v>3.3</v>
      </c>
      <c r="L33"/>
    </row>
    <row r="34">
      <c r="A34" t="inlineStr">
        <is>
          <t>PABLO GARCIA</t>
        </is>
      </c>
      <c r="B34" t="inlineStr">
        <is>
          <t>MED/LAT</t>
        </is>
      </c>
      <c r="C34" t="inlineStr">
        <is>
          <t>rapido</t>
        </is>
      </c>
      <c r="D34" s="2">
        <v>2.3</v>
      </c>
      <c r="E34" s="2">
        <v>3.0</v>
      </c>
      <c r="F34" s="2">
        <v>2.7</v>
      </c>
      <c r="G34" s="2">
        <v>3.3</v>
      </c>
      <c r="H34" s="2">
        <v>3.3</v>
      </c>
      <c r="I34" s="2">
        <v>4.3</v>
      </c>
      <c r="J34" s="2">
        <v>3.9</v>
      </c>
      <c r="K34" s="2">
        <v>3.3</v>
      </c>
      <c r="L34"/>
    </row>
    <row r="35">
      <c r="A35" t="inlineStr">
        <is>
          <t>PELA</t>
        </is>
      </c>
      <c r="B35" t="inlineStr">
        <is>
          <t>DEL/MED</t>
        </is>
      </c>
      <c r="C35" t="inlineStr">
        <is>
          <t>rapido</t>
        </is>
      </c>
      <c r="D35" s="2">
        <v>4.3</v>
      </c>
      <c r="E35" s="2">
        <v>3.6</v>
      </c>
      <c r="F35" s="2">
        <v>4.3</v>
      </c>
      <c r="G35" s="2">
        <v>3.6</v>
      </c>
      <c r="H35" s="2">
        <v>2.8</v>
      </c>
      <c r="I35" s="2">
        <v>4.3</v>
      </c>
      <c r="J35" s="2">
        <v>2.2</v>
      </c>
      <c r="K35" s="2">
        <v>3.6</v>
      </c>
      <c r="L35"/>
    </row>
    <row r="36">
      <c r="A36" t="inlineStr">
        <is>
          <t>PULY</t>
        </is>
      </c>
      <c r="B36" t="inlineStr">
        <is>
          <t>DEL/MED</t>
        </is>
      </c>
      <c r="C36" t="inlineStr">
        <is>
          <t>lento</t>
        </is>
      </c>
      <c r="D36" s="2">
        <v>3.0</v>
      </c>
      <c r="E36" s="2">
        <v>1.0</v>
      </c>
      <c r="F36" s="2">
        <v>5.0</v>
      </c>
      <c r="G36" s="2">
        <v>2.2</v>
      </c>
      <c r="H36" s="2">
        <v>3.0</v>
      </c>
      <c r="I36" s="2">
        <v>2.2</v>
      </c>
      <c r="J36" s="2">
        <v>2.2</v>
      </c>
      <c r="K36" s="2">
        <v>3.3</v>
      </c>
      <c r="L36"/>
    </row>
    <row r="37">
      <c r="A37" t="inlineStr">
        <is>
          <t>RODRI CHAVEZ</t>
        </is>
      </c>
      <c r="B37" t="inlineStr">
        <is>
          <t>LAT/MED</t>
        </is>
      </c>
      <c r="C37" t="inlineStr">
        <is>
          <t>rapido</t>
        </is>
      </c>
      <c r="D37" s="2">
        <v>3.6</v>
      </c>
      <c r="E37" s="2">
        <v>4.1</v>
      </c>
      <c r="F37" s="2">
        <v>3.9</v>
      </c>
      <c r="G37" s="2">
        <v>4.3</v>
      </c>
      <c r="H37" s="2">
        <v>4.3</v>
      </c>
      <c r="I37" s="2">
        <v>4.8</v>
      </c>
      <c r="J37" s="2">
        <v>4.8</v>
      </c>
      <c r="K37" s="2">
        <v>3.6</v>
      </c>
      <c r="L37"/>
    </row>
    <row r="38">
      <c r="A38" t="inlineStr">
        <is>
          <t>RODRI SUAREZ</t>
        </is>
      </c>
      <c r="B38" t="inlineStr">
        <is>
          <t>DEF/ARQ</t>
        </is>
      </c>
      <c r="C38" t="inlineStr">
        <is>
          <t>lento</t>
        </is>
      </c>
      <c r="D38" s="2">
        <v>2.2</v>
      </c>
      <c r="E38" s="2">
        <v>3.7</v>
      </c>
      <c r="F38" s="2">
        <v>2.8</v>
      </c>
      <c r="G38" s="2">
        <v>3.0</v>
      </c>
      <c r="H38" s="2">
        <v>3.6</v>
      </c>
      <c r="I38" s="2">
        <v>3.9</v>
      </c>
      <c r="J38" s="2">
        <v>3.9</v>
      </c>
      <c r="K38" s="2">
        <v>3.9</v>
      </c>
      <c r="L38"/>
    </row>
    <row r="39">
      <c r="A39" t="inlineStr">
        <is>
          <t>SANTI</t>
        </is>
      </c>
      <c r="B39" t="inlineStr">
        <is>
          <t>ARQ/MED</t>
        </is>
      </c>
      <c r="C39" t="inlineStr">
        <is>
          <t>rapido</t>
        </is>
      </c>
      <c r="D39" s="2">
        <v>3.0</v>
      </c>
      <c r="E39" s="2">
        <v>3.0</v>
      </c>
      <c r="F39" s="2">
        <v>5.0</v>
      </c>
      <c r="G39" s="2">
        <v>4.0</v>
      </c>
      <c r="H39" s="2">
        <v>3.0</v>
      </c>
      <c r="I39" s="2">
        <v>3.0</v>
      </c>
      <c r="J39" s="2">
        <v>4.0</v>
      </c>
      <c r="K39" s="2">
        <v>3.3</v>
      </c>
      <c r="L39"/>
    </row>
    <row r="40">
      <c r="A40" t="inlineStr">
        <is>
          <t>SEBACORTEZ</t>
        </is>
      </c>
      <c r="B40" t="inlineStr">
        <is>
          <t>DEF/ARQ</t>
        </is>
      </c>
      <c r="C40" t="inlineStr">
        <is>
          <t>lento</t>
        </is>
      </c>
      <c r="D40" s="2">
        <v>3.3</v>
      </c>
      <c r="E40" s="2">
        <v>4.1</v>
      </c>
      <c r="F40" s="2">
        <v>3.9</v>
      </c>
      <c r="G40" s="2">
        <v>2.8</v>
      </c>
      <c r="H40" s="2">
        <v>3.6</v>
      </c>
      <c r="I40" s="2">
        <v>4.3</v>
      </c>
      <c r="J40" s="2">
        <v>3.0</v>
      </c>
      <c r="K40" s="2">
        <v>4.8</v>
      </c>
      <c r="L40"/>
    </row>
    <row r="41">
      <c r="A41" t="inlineStr">
        <is>
          <t>TEBO</t>
        </is>
      </c>
      <c r="B41" t="inlineStr">
        <is>
          <t>MED/DEL</t>
        </is>
      </c>
      <c r="C41" t="inlineStr">
        <is>
          <t>rapido</t>
        </is>
      </c>
      <c r="D41" s="2">
        <v>4.3</v>
      </c>
      <c r="E41" s="2">
        <v>3.9</v>
      </c>
      <c r="F41" s="2">
        <v>4.8</v>
      </c>
      <c r="G41" s="2">
        <v>4.8</v>
      </c>
      <c r="H41" s="2">
        <v>4.2</v>
      </c>
      <c r="I41" s="2">
        <v>4.8</v>
      </c>
      <c r="J41" s="2">
        <v>5.4</v>
      </c>
      <c r="K41" s="2">
        <v>3.9</v>
      </c>
      <c r="L41"/>
    </row>
    <row r="42">
      <c r="A42" t="inlineStr">
        <is>
          <t>VICTOR</t>
        </is>
      </c>
      <c r="B42" t="inlineStr">
        <is>
          <t>DEF/LAT</t>
        </is>
      </c>
      <c r="C42" t="inlineStr">
        <is>
          <t>rapido</t>
        </is>
      </c>
      <c r="D42" s="2">
        <v>3.3</v>
      </c>
      <c r="E42" s="2">
        <v>4.2</v>
      </c>
      <c r="F42" s="2">
        <v>4.6</v>
      </c>
      <c r="G42" s="2">
        <v>3.3</v>
      </c>
      <c r="H42" s="2">
        <v>4.8</v>
      </c>
      <c r="I42" s="2">
        <v>3.9</v>
      </c>
      <c r="J42" s="2">
        <v>3.9</v>
      </c>
      <c r="K42" s="2">
        <v>3.6</v>
      </c>
      <c r="L42"/>
    </row>
    <row r="43">
      <c r="A43" t="inlineStr">
        <is>
          <t>VIKINGO</t>
        </is>
      </c>
      <c r="B43" t="inlineStr">
        <is>
          <t>MED/LAT</t>
        </is>
      </c>
      <c r="C43" t="inlineStr">
        <is>
          <t>rapido</t>
        </is>
      </c>
      <c r="D43" s="2">
        <v>3.6</v>
      </c>
      <c r="E43" s="2">
        <v>3.9</v>
      </c>
      <c r="F43" s="2">
        <v>4.2</v>
      </c>
      <c r="G43" s="2">
        <v>4.8</v>
      </c>
      <c r="H43" s="2">
        <v>2.6</v>
      </c>
      <c r="I43" s="2">
        <v>2.6</v>
      </c>
      <c r="J43" s="2">
        <v>2.2</v>
      </c>
      <c r="K43" s="2">
        <v>3.9</v>
      </c>
      <c r="L43"/>
    </row>
  </sheetData>
  <autoFilter ref="A1:L4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43"/>
  <sheetViews>
    <sheetView workbookViewId="0">
      <pane ySplit="1" topLeftCell="A2" activePane="bottomLeft" state="frozen"/>
    </sheetView>
  </sheetViews>
  <cols>
    <col min="1" max="1" width="24" customWidth="1"/>
    <col min="2" max="2" width="13" customWidth="1"/>
    <col min="3" max="3" width="12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2" customWidth="1"/>
    <col min="10" max="10" width="12" customWidth="1"/>
    <col min="11" max="11" width="10" customWidth="1"/>
    <col min="12" max="12" width="28" customWidth="1"/>
  </cols>
  <sheetData>
    <row r="1">
      <c r="A1" t="inlineStr" s="1">
        <is>
          <t>Nombre jugador</t>
        </is>
      </c>
      <c r="B1" t="inlineStr" s="1">
        <is>
          <t>Posiciones</t>
        </is>
      </c>
      <c r="C1" t="inlineStr" s="1">
        <is>
          <t>Ritmo base</t>
        </is>
      </c>
      <c r="D1" t="inlineStr" s="1">
        <is>
          <t>Ataque</t>
        </is>
      </c>
      <c r="E1" t="inlineStr" s="1">
        <is>
          <t>Solidez</t>
        </is>
      </c>
      <c r="F1" t="inlineStr" s="1">
        <is>
          <t>Tecnica</t>
        </is>
      </c>
      <c r="G1" t="inlineStr" s="1">
        <is>
          <t>Ritmo</t>
        </is>
      </c>
      <c r="H1" t="inlineStr" s="1">
        <is>
          <t>Equipo</t>
        </is>
      </c>
      <c r="I1" t="inlineStr" s="1">
        <is>
          <t>Mentalidad</t>
        </is>
      </c>
      <c r="J1" t="inlineStr" s="1">
        <is>
          <t>Regularidad</t>
        </is>
      </c>
      <c r="K1" t="inlineStr" s="1">
        <is>
          <t>Arquero</t>
        </is>
      </c>
      <c r="L1" t="inlineStr" s="1">
        <is>
          <t>Comentarios</t>
        </is>
      </c>
    </row>
    <row r="2">
      <c r="A2" t="inlineStr">
        <is>
          <t>ALE CUERVO</t>
        </is>
      </c>
      <c r="B2" t="inlineStr">
        <is>
          <t>LAT/MED</t>
        </is>
      </c>
      <c r="C2" t="inlineStr">
        <is>
          <t>lento</t>
        </is>
      </c>
      <c r="D2" s="2">
        <v>2.8</v>
      </c>
      <c r="E2" s="2">
        <v>2.6</v>
      </c>
      <c r="F2" s="2">
        <v>3.3</v>
      </c>
      <c r="G2" s="2">
        <v>3.0</v>
      </c>
      <c r="H2" s="2">
        <v>3.0</v>
      </c>
      <c r="I2" s="2">
        <v>2.2</v>
      </c>
      <c r="J2" s="2">
        <v>2.8</v>
      </c>
      <c r="K2" s="2">
        <v>3.6</v>
      </c>
      <c r="L2"/>
    </row>
    <row r="3">
      <c r="A3" t="inlineStr">
        <is>
          <t>ALEXIS</t>
        </is>
      </c>
      <c r="B3" t="inlineStr">
        <is>
          <t>LAT/MED</t>
        </is>
      </c>
      <c r="C3" t="inlineStr">
        <is>
          <t>rapido</t>
        </is>
      </c>
      <c r="D3" s="2">
        <v>3.6</v>
      </c>
      <c r="E3" s="2">
        <v>3.6</v>
      </c>
      <c r="F3" s="2">
        <v>3.9</v>
      </c>
      <c r="G3" s="2">
        <v>4.8</v>
      </c>
      <c r="H3" s="2">
        <v>3.3</v>
      </c>
      <c r="I3" s="2">
        <v>4.3</v>
      </c>
      <c r="J3" s="2">
        <v>4.8</v>
      </c>
      <c r="K3" s="2">
        <v>3.3</v>
      </c>
      <c r="L3"/>
    </row>
    <row r="4">
      <c r="A4" t="inlineStr">
        <is>
          <t>ANIBAL</t>
        </is>
      </c>
      <c r="B4" t="inlineStr">
        <is>
          <t>DEL</t>
        </is>
      </c>
      <c r="C4" t="inlineStr">
        <is>
          <t>lento</t>
        </is>
      </c>
      <c r="D4" s="2">
        <v>3.7</v>
      </c>
      <c r="E4" s="2">
        <v>1.8</v>
      </c>
      <c r="F4" s="2">
        <v>3.6</v>
      </c>
      <c r="G4" s="2">
        <v>1.4</v>
      </c>
      <c r="H4" s="2">
        <v>1.8</v>
      </c>
      <c r="I4" s="2">
        <v>2.2</v>
      </c>
      <c r="J4" s="2">
        <v>2.8</v>
      </c>
      <c r="K4" s="2">
        <v>4.3</v>
      </c>
      <c r="L4"/>
    </row>
    <row r="5">
      <c r="A5" t="inlineStr">
        <is>
          <t>AUGUSTO</t>
        </is>
      </c>
      <c r="B5" t="inlineStr">
        <is>
          <t>MED/LAT</t>
        </is>
      </c>
      <c r="C5" t="inlineStr">
        <is>
          <t>rapido</t>
        </is>
      </c>
      <c r="D5" s="2">
        <v>3.7</v>
      </c>
      <c r="E5" s="2">
        <v>3.3</v>
      </c>
      <c r="F5" s="2">
        <v>4.3</v>
      </c>
      <c r="G5" s="2">
        <v>4.3</v>
      </c>
      <c r="H5" s="2">
        <v>3.9</v>
      </c>
      <c r="I5" s="2">
        <v>2.8</v>
      </c>
      <c r="J5" s="2">
        <v>2.6</v>
      </c>
      <c r="K5" s="2">
        <v>3.6</v>
      </c>
      <c r="L5"/>
    </row>
    <row r="6">
      <c r="A6" t="inlineStr">
        <is>
          <t>BETO</t>
        </is>
      </c>
      <c r="B6" t="inlineStr">
        <is>
          <t>DEL/MED</t>
        </is>
      </c>
      <c r="C6" t="inlineStr">
        <is>
          <t>lento</t>
        </is>
      </c>
      <c r="D6" s="2">
        <v>3.7</v>
      </c>
      <c r="E6" s="2">
        <v>1.8</v>
      </c>
      <c r="F6" s="2">
        <v>3.6</v>
      </c>
      <c r="G6" s="2">
        <v>2.2</v>
      </c>
      <c r="H6" s="2">
        <v>3.0</v>
      </c>
      <c r="I6" s="2">
        <v>3.6</v>
      </c>
      <c r="J6" s="2">
        <v>4.0</v>
      </c>
      <c r="K6" s="2">
        <v>3.3</v>
      </c>
      <c r="L6"/>
    </row>
    <row r="7">
      <c r="A7" t="inlineStr">
        <is>
          <t>BRIAN</t>
        </is>
      </c>
      <c r="B7" t="inlineStr">
        <is>
          <t>DEL/MED</t>
        </is>
      </c>
      <c r="C7" t="inlineStr">
        <is>
          <t>rapido</t>
        </is>
      </c>
      <c r="D7" s="2">
        <v>5.4</v>
      </c>
      <c r="E7" s="2">
        <v>3.9</v>
      </c>
      <c r="F7" s="2">
        <v>5.4</v>
      </c>
      <c r="G7" s="2">
        <v>3.9</v>
      </c>
      <c r="H7" s="2">
        <v>4.3</v>
      </c>
      <c r="I7" s="2">
        <v>2.8</v>
      </c>
      <c r="J7" s="2">
        <v>4.8</v>
      </c>
      <c r="K7" s="2"/>
      <c r="L7"/>
    </row>
    <row r="8">
      <c r="A8" t="inlineStr">
        <is>
          <t>CAMILO</t>
        </is>
      </c>
      <c r="B8" t="inlineStr">
        <is>
          <t>MED/DEL</t>
        </is>
      </c>
      <c r="C8" t="inlineStr">
        <is>
          <t>rapido</t>
        </is>
      </c>
      <c r="D8" s="2">
        <v>3.9</v>
      </c>
      <c r="E8" s="2">
        <v>3.0</v>
      </c>
      <c r="F8" s="2">
        <v>5.0</v>
      </c>
      <c r="G8" s="2">
        <v>4.3</v>
      </c>
      <c r="H8" s="2">
        <v>4.0</v>
      </c>
      <c r="I8" s="2">
        <v>4.0</v>
      </c>
      <c r="J8" s="2">
        <v>4.0</v>
      </c>
      <c r="K8" s="2">
        <v>3.3</v>
      </c>
      <c r="L8"/>
    </row>
    <row r="9">
      <c r="A9" t="inlineStr">
        <is>
          <t>CESAR</t>
        </is>
      </c>
      <c r="B9" t="inlineStr">
        <is>
          <t>DEF/LAT</t>
        </is>
      </c>
      <c r="C9" t="inlineStr">
        <is>
          <t>rapido</t>
        </is>
      </c>
      <c r="D9" s="2">
        <v>3.6</v>
      </c>
      <c r="E9" s="2">
        <v>4.6</v>
      </c>
      <c r="F9" s="2">
        <v>4.3</v>
      </c>
      <c r="G9" s="2">
        <v>3.3</v>
      </c>
      <c r="H9" s="2">
        <v>4.1</v>
      </c>
      <c r="I9" s="2">
        <v>3.6</v>
      </c>
      <c r="J9" s="2">
        <v>4.8</v>
      </c>
      <c r="K9" s="2"/>
      <c r="L9"/>
    </row>
    <row r="10">
      <c r="A10" t="inlineStr">
        <is>
          <t>COMANCHE</t>
        </is>
      </c>
      <c r="B10" t="inlineStr">
        <is>
          <t>LAT/MED</t>
        </is>
      </c>
      <c r="C10" t="inlineStr">
        <is>
          <t>lento</t>
        </is>
      </c>
      <c r="D10" s="2">
        <v>2.8</v>
      </c>
      <c r="E10" s="2">
        <v>2.7</v>
      </c>
      <c r="F10" s="2">
        <v>3.6</v>
      </c>
      <c r="G10" s="2">
        <v>2.0</v>
      </c>
      <c r="H10" s="2">
        <v>1.8</v>
      </c>
      <c r="I10" s="2">
        <v>3.0</v>
      </c>
      <c r="J10" s="2">
        <v>3.0</v>
      </c>
      <c r="K10" s="2">
        <v>3.9</v>
      </c>
      <c r="L10"/>
    </row>
    <row r="11">
      <c r="A11" t="inlineStr">
        <is>
          <t>CRISTIAN</t>
        </is>
      </c>
      <c r="B11" t="inlineStr">
        <is>
          <t>DEL/ARQ</t>
        </is>
      </c>
      <c r="C11" t="inlineStr">
        <is>
          <t>lento</t>
        </is>
      </c>
      <c r="D11" s="2">
        <v>2.6</v>
      </c>
      <c r="E11" s="2">
        <v>1.4</v>
      </c>
      <c r="F11" s="2">
        <v>2.8</v>
      </c>
      <c r="G11" s="2">
        <v>2.2</v>
      </c>
      <c r="H11" s="2">
        <v>2.8</v>
      </c>
      <c r="I11" s="2">
        <v>3.9</v>
      </c>
      <c r="J11" s="2">
        <v>2.8</v>
      </c>
      <c r="K11" s="2">
        <v>3.6</v>
      </c>
      <c r="L11"/>
    </row>
    <row r="12">
      <c r="A12" t="inlineStr">
        <is>
          <t>CUERVO</t>
        </is>
      </c>
      <c r="B12" t="inlineStr">
        <is>
          <t>DEL/DEF</t>
        </is>
      </c>
      <c r="C12" t="inlineStr">
        <is>
          <t>rapido</t>
        </is>
      </c>
      <c r="D12" s="2">
        <v>6.0</v>
      </c>
      <c r="E12" s="2">
        <v>3.6</v>
      </c>
      <c r="F12" s="2">
        <v>5.4</v>
      </c>
      <c r="G12" s="2">
        <v>3.6</v>
      </c>
      <c r="H12" s="2">
        <v>2.8</v>
      </c>
      <c r="I12" s="2">
        <v>3.3</v>
      </c>
      <c r="J12" s="2">
        <v>2.8</v>
      </c>
      <c r="K12" s="2"/>
      <c r="L12"/>
    </row>
    <row r="13">
      <c r="A13" t="inlineStr">
        <is>
          <t>ELIAN</t>
        </is>
      </c>
      <c r="B13" t="inlineStr">
        <is>
          <t>DEF/DEL</t>
        </is>
      </c>
      <c r="C13" t="inlineStr">
        <is>
          <t>lento</t>
        </is>
      </c>
      <c r="D13" s="2">
        <v>2.2</v>
      </c>
      <c r="E13" s="2">
        <v>1.4</v>
      </c>
      <c r="F13" s="2">
        <v>2.9</v>
      </c>
      <c r="G13" s="2">
        <v>1.4</v>
      </c>
      <c r="H13" s="2">
        <v>2.8</v>
      </c>
      <c r="I13" s="2">
        <v>2.8</v>
      </c>
      <c r="J13" s="2">
        <v>2.0</v>
      </c>
      <c r="K13" s="2">
        <v>3.3</v>
      </c>
      <c r="L13"/>
    </row>
    <row r="14">
      <c r="A14" t="inlineStr">
        <is>
          <t>FACU</t>
        </is>
      </c>
      <c r="B14" t="inlineStr">
        <is>
          <t>DEF/DEL</t>
        </is>
      </c>
      <c r="C14" t="inlineStr">
        <is>
          <t>lento</t>
        </is>
      </c>
      <c r="D14" s="2">
        <v>2.6</v>
      </c>
      <c r="E14" s="2">
        <v>4.1</v>
      </c>
      <c r="F14" s="2">
        <v>2.9</v>
      </c>
      <c r="G14" s="2">
        <v>2.8</v>
      </c>
      <c r="H14" s="2">
        <v>3.0</v>
      </c>
      <c r="I14" s="2">
        <v>2.6</v>
      </c>
      <c r="J14" s="2">
        <v>3.9</v>
      </c>
      <c r="K14" s="2">
        <v>2.8</v>
      </c>
      <c r="L14"/>
    </row>
    <row r="15">
      <c r="A15" t="inlineStr">
        <is>
          <t>FRANCISCO</t>
        </is>
      </c>
      <c r="B15" t="inlineStr">
        <is>
          <t>ARQ/DEL</t>
        </is>
      </c>
      <c r="C15" t="inlineStr">
        <is>
          <t>lento</t>
        </is>
      </c>
      <c r="D15" s="2">
        <v>1.4</v>
      </c>
      <c r="E15" s="2">
        <v>2.2</v>
      </c>
      <c r="F15" s="2">
        <v>1.4</v>
      </c>
      <c r="G15" s="2">
        <v>3.0</v>
      </c>
      <c r="H15" s="2">
        <v>2.2</v>
      </c>
      <c r="I15" s="2">
        <v>3.6</v>
      </c>
      <c r="J15" s="2">
        <v>2.8</v>
      </c>
      <c r="K15" s="2">
        <v>3.6</v>
      </c>
      <c r="L15"/>
    </row>
    <row r="16">
      <c r="A16" t="inlineStr">
        <is>
          <t>FRANCO COMOLLI</t>
        </is>
      </c>
      <c r="B16" t="inlineStr">
        <is>
          <t>MED/DEL</t>
        </is>
      </c>
      <c r="C16" t="inlineStr">
        <is>
          <t>rapido</t>
        </is>
      </c>
      <c r="D16" s="2">
        <v>4.3</v>
      </c>
      <c r="E16" s="2">
        <v>4.3</v>
      </c>
      <c r="F16" s="2">
        <v>5.0</v>
      </c>
      <c r="G16" s="2">
        <v>4.8</v>
      </c>
      <c r="H16" s="2">
        <v>4.8</v>
      </c>
      <c r="I16" s="2">
        <v>4.8</v>
      </c>
      <c r="J16" s="2">
        <v>5.4</v>
      </c>
      <c r="K16" s="2">
        <v>3.3</v>
      </c>
      <c r="L16"/>
    </row>
    <row r="17">
      <c r="A17" t="inlineStr">
        <is>
          <t>FRANCOK</t>
        </is>
      </c>
      <c r="B17" t="inlineStr">
        <is>
          <t>ARQ/LAT</t>
        </is>
      </c>
      <c r="C17" t="inlineStr">
        <is>
          <t>rapido</t>
        </is>
      </c>
      <c r="D17" s="2">
        <v>1.4</v>
      </c>
      <c r="E17" s="2">
        <v>2.8</v>
      </c>
      <c r="F17" s="2">
        <v>2.6</v>
      </c>
      <c r="G17" s="2">
        <v>3.6</v>
      </c>
      <c r="H17" s="2">
        <v>3.0</v>
      </c>
      <c r="I17" s="2">
        <v>3.0</v>
      </c>
      <c r="J17" s="2">
        <v>3.3</v>
      </c>
      <c r="K17" s="2">
        <v>3.9</v>
      </c>
      <c r="L17"/>
    </row>
    <row r="18">
      <c r="A18" t="inlineStr">
        <is>
          <t>FRANQUITO</t>
        </is>
      </c>
      <c r="B18" t="inlineStr">
        <is>
          <t>MED</t>
        </is>
      </c>
      <c r="C18" t="inlineStr">
        <is>
          <t>rapido</t>
        </is>
      </c>
      <c r="D18" s="2">
        <v>3.4</v>
      </c>
      <c r="E18" s="2">
        <v>3.0</v>
      </c>
      <c r="F18" s="2">
        <v>3.9</v>
      </c>
      <c r="G18" s="2">
        <v>4.3</v>
      </c>
      <c r="H18" s="2">
        <v>3.3</v>
      </c>
      <c r="I18" s="2">
        <v>3.3</v>
      </c>
      <c r="J18" s="2">
        <v>4.0</v>
      </c>
      <c r="K18" s="2">
        <v>3.6</v>
      </c>
      <c r="L18"/>
    </row>
    <row r="19">
      <c r="A19" t="inlineStr">
        <is>
          <t>GONZA</t>
        </is>
      </c>
      <c r="B19" t="inlineStr">
        <is>
          <t>ARQ/DEF</t>
        </is>
      </c>
      <c r="C19" t="inlineStr">
        <is>
          <t>lento</t>
        </is>
      </c>
      <c r="D19" s="2">
        <v>2.6</v>
      </c>
      <c r="E19" s="2">
        <v>3.9</v>
      </c>
      <c r="F19" s="2">
        <v>3.0</v>
      </c>
      <c r="G19" s="2">
        <v>3.0</v>
      </c>
      <c r="H19" s="2">
        <v>3.3</v>
      </c>
      <c r="I19" s="2">
        <v>3.3</v>
      </c>
      <c r="J19" s="2">
        <v>3.9</v>
      </c>
      <c r="K19" s="2">
        <v>3.9</v>
      </c>
      <c r="L19"/>
    </row>
    <row r="20">
      <c r="A20" t="inlineStr">
        <is>
          <t>GUILLE</t>
        </is>
      </c>
      <c r="B20" t="inlineStr">
        <is>
          <t>LAT/ARQ</t>
        </is>
      </c>
      <c r="C20" t="inlineStr">
        <is>
          <t>lento</t>
        </is>
      </c>
      <c r="D20" s="2">
        <v>2.2</v>
      </c>
      <c r="E20" s="2">
        <v>1.4</v>
      </c>
      <c r="F20" s="2">
        <v>2.6</v>
      </c>
      <c r="G20" s="2">
        <v>1.4</v>
      </c>
      <c r="H20" s="2">
        <v>2.8</v>
      </c>
      <c r="I20" s="2">
        <v>3.9</v>
      </c>
      <c r="J20" s="2">
        <v>2.8</v>
      </c>
      <c r="K20" s="2">
        <v>3.3</v>
      </c>
      <c r="L20"/>
    </row>
    <row r="21">
      <c r="A21" t="inlineStr">
        <is>
          <t>ISMA</t>
        </is>
      </c>
      <c r="B21" t="inlineStr">
        <is>
          <t>MED/LAT</t>
        </is>
      </c>
      <c r="C21" t="inlineStr">
        <is>
          <t>rapido</t>
        </is>
      </c>
      <c r="D21" s="2">
        <v>3.6</v>
      </c>
      <c r="E21" s="2">
        <v>3.9</v>
      </c>
      <c r="F21" s="2">
        <v>4.8</v>
      </c>
      <c r="G21" s="2">
        <v>3.9</v>
      </c>
      <c r="H21" s="2">
        <v>4.6</v>
      </c>
      <c r="I21" s="2">
        <v>4.3</v>
      </c>
      <c r="J21" s="2">
        <v>4.3</v>
      </c>
      <c r="K21" s="2">
        <v>3.6</v>
      </c>
      <c r="L21"/>
    </row>
    <row r="22">
      <c r="A22" t="inlineStr">
        <is>
          <t>JAVI</t>
        </is>
      </c>
      <c r="B22" t="inlineStr">
        <is>
          <t>DEF/ARQ</t>
        </is>
      </c>
      <c r="C22" t="inlineStr">
        <is>
          <t>lento</t>
        </is>
      </c>
      <c r="D22" s="2">
        <v>2.8</v>
      </c>
      <c r="E22" s="2">
        <v>3.7</v>
      </c>
      <c r="F22" s="2">
        <v>3.2</v>
      </c>
      <c r="G22" s="2">
        <v>3.0</v>
      </c>
      <c r="H22" s="2">
        <v>3.3</v>
      </c>
      <c r="I22" s="2">
        <v>3.9</v>
      </c>
      <c r="J22" s="2">
        <v>3.0</v>
      </c>
      <c r="K22" s="2">
        <v>4.8</v>
      </c>
      <c r="L22"/>
    </row>
    <row r="23">
      <c r="A23" t="inlineStr">
        <is>
          <t>JEAN FRANCO</t>
        </is>
      </c>
      <c r="B23" t="inlineStr">
        <is>
          <t>DEL</t>
        </is>
      </c>
      <c r="C23" t="inlineStr">
        <is>
          <t>lento</t>
        </is>
      </c>
      <c r="D23" s="2">
        <v>2.0</v>
      </c>
      <c r="E23" s="2">
        <v>2.0</v>
      </c>
      <c r="F23" s="2">
        <v>3.0</v>
      </c>
      <c r="G23" s="2">
        <v>3.0</v>
      </c>
      <c r="H23" s="2">
        <v>3.0</v>
      </c>
      <c r="I23" s="2">
        <v>4.0</v>
      </c>
      <c r="J23" s="2">
        <v>2.2</v>
      </c>
      <c r="K23" s="2">
        <v>2.6</v>
      </c>
      <c r="L23"/>
    </row>
    <row r="24">
      <c r="A24" t="inlineStr">
        <is>
          <t>MANU</t>
        </is>
      </c>
      <c r="B24" t="inlineStr">
        <is>
          <t>LAT/MED</t>
        </is>
      </c>
      <c r="C24" t="inlineStr">
        <is>
          <t>rapido</t>
        </is>
      </c>
      <c r="D24" s="2">
        <v>4.2</v>
      </c>
      <c r="E24" s="2">
        <v>4.8</v>
      </c>
      <c r="F24" s="2">
        <v>4.3</v>
      </c>
      <c r="G24" s="2">
        <v>6.0</v>
      </c>
      <c r="H24" s="2">
        <v>4.3</v>
      </c>
      <c r="I24" s="2">
        <v>3.3</v>
      </c>
      <c r="J24" s="2">
        <v>4.8</v>
      </c>
      <c r="K24" s="2"/>
      <c r="L24"/>
    </row>
    <row r="25">
      <c r="A25" t="inlineStr">
        <is>
          <t>MARCELO</t>
        </is>
      </c>
      <c r="B25" t="inlineStr">
        <is>
          <t>MED/LAT</t>
        </is>
      </c>
      <c r="C25" t="inlineStr">
        <is>
          <t>lento</t>
        </is>
      </c>
      <c r="D25" s="2">
        <v>2.7</v>
      </c>
      <c r="E25" s="2">
        <v>1.8</v>
      </c>
      <c r="F25" s="2">
        <v>3.7</v>
      </c>
      <c r="G25" s="2">
        <v>2.2</v>
      </c>
      <c r="H25" s="2">
        <v>4.2</v>
      </c>
      <c r="I25" s="2">
        <v>1.4</v>
      </c>
      <c r="J25" s="2">
        <v>2.6</v>
      </c>
      <c r="K25" s="2">
        <v>3.3</v>
      </c>
      <c r="L25"/>
    </row>
    <row r="26">
      <c r="A26" t="inlineStr">
        <is>
          <t>MARIAN</t>
        </is>
      </c>
      <c r="B26" t="inlineStr">
        <is>
          <t>DEL/MED</t>
        </is>
      </c>
      <c r="C26" t="inlineStr">
        <is>
          <t>lento</t>
        </is>
      </c>
      <c r="D26" s="2">
        <v>4.3</v>
      </c>
      <c r="E26" s="2">
        <v>1.8</v>
      </c>
      <c r="F26" s="2">
        <v>4.1</v>
      </c>
      <c r="G26" s="2">
        <v>2.2</v>
      </c>
      <c r="H26" s="2">
        <v>3.6</v>
      </c>
      <c r="I26" s="2">
        <v>2.8</v>
      </c>
      <c r="J26" s="2">
        <v>3.3</v>
      </c>
      <c r="K26" s="2">
        <v>3.9</v>
      </c>
      <c r="L26"/>
    </row>
    <row r="27">
      <c r="A27" t="inlineStr">
        <is>
          <t>MATI BRAIAN</t>
        </is>
      </c>
      <c r="B27" t="inlineStr">
        <is>
          <t>DEF/MED</t>
        </is>
      </c>
      <c r="C27" t="inlineStr">
        <is>
          <t>rapido</t>
        </is>
      </c>
      <c r="D27" s="2">
        <v>3.6</v>
      </c>
      <c r="E27" s="2">
        <v>3.3</v>
      </c>
      <c r="F27" s="2">
        <v>3.9</v>
      </c>
      <c r="G27" s="2">
        <v>4.8</v>
      </c>
      <c r="H27" s="2">
        <v>2.6</v>
      </c>
      <c r="I27" s="2">
        <v>2.8</v>
      </c>
      <c r="J27" s="2">
        <v>3.3</v>
      </c>
      <c r="K27" s="2">
        <v>3.4</v>
      </c>
      <c r="L27"/>
    </row>
    <row r="28">
      <c r="A28" t="inlineStr">
        <is>
          <t>MATI ROSALES</t>
        </is>
      </c>
      <c r="B28" t="inlineStr">
        <is>
          <t>MED/LAT</t>
        </is>
      </c>
      <c r="C28" t="inlineStr">
        <is>
          <t>rapido</t>
        </is>
      </c>
      <c r="D28" s="2">
        <v>3.9</v>
      </c>
      <c r="E28" s="2">
        <v>4.1</v>
      </c>
      <c r="F28" s="2">
        <v>6.0</v>
      </c>
      <c r="G28" s="2">
        <v>3.6</v>
      </c>
      <c r="H28" s="2">
        <v>5.4</v>
      </c>
      <c r="I28" s="2">
        <v>3.9</v>
      </c>
      <c r="J28" s="2">
        <v>4.3</v>
      </c>
      <c r="K28" s="2"/>
      <c r="L28"/>
    </row>
    <row r="29">
      <c r="A29" t="inlineStr">
        <is>
          <t>MAURI</t>
        </is>
      </c>
      <c r="B29" t="inlineStr">
        <is>
          <t>DEL</t>
        </is>
      </c>
      <c r="C29" t="inlineStr">
        <is>
          <t>rapido</t>
        </is>
      </c>
      <c r="D29" s="2">
        <v>3.9</v>
      </c>
      <c r="E29" s="2">
        <v>2.6</v>
      </c>
      <c r="F29" s="2">
        <v>3.3</v>
      </c>
      <c r="G29" s="2">
        <v>4.0</v>
      </c>
      <c r="H29" s="2">
        <v>3.3</v>
      </c>
      <c r="I29" s="2">
        <v>3.9</v>
      </c>
      <c r="J29" s="2">
        <v>3.6</v>
      </c>
      <c r="K29" s="2">
        <v>3.3</v>
      </c>
      <c r="L29"/>
    </row>
    <row r="30">
      <c r="A30" t="inlineStr">
        <is>
          <t>MAXI</t>
        </is>
      </c>
      <c r="B30" t="inlineStr">
        <is>
          <t>MED</t>
        </is>
      </c>
      <c r="C30" t="inlineStr">
        <is>
          <t>lento</t>
        </is>
      </c>
      <c r="D30" s="2">
        <v>2.8</v>
      </c>
      <c r="E30" s="2">
        <v>1.8</v>
      </c>
      <c r="F30" s="2">
        <v>3.6</v>
      </c>
      <c r="G30" s="2">
        <v>2.0</v>
      </c>
      <c r="H30" s="2">
        <v>3.0</v>
      </c>
      <c r="I30" s="2">
        <v>2.8</v>
      </c>
      <c r="J30" s="2">
        <v>2.2</v>
      </c>
      <c r="K30" s="2">
        <v>2.5</v>
      </c>
      <c r="L30"/>
    </row>
    <row r="31">
      <c r="A31" t="inlineStr">
        <is>
          <t>NICO</t>
        </is>
      </c>
      <c r="B31" t="inlineStr">
        <is>
          <t>MED/LAT</t>
        </is>
      </c>
      <c r="C31" t="inlineStr">
        <is>
          <t>rapido</t>
        </is>
      </c>
      <c r="D31" s="2">
        <v>3.9</v>
      </c>
      <c r="E31" s="2">
        <v>2.6</v>
      </c>
      <c r="F31" s="2">
        <v>3.9</v>
      </c>
      <c r="G31" s="2">
        <v>3.3</v>
      </c>
      <c r="H31" s="2">
        <v>3.9</v>
      </c>
      <c r="I31" s="2">
        <v>3.3</v>
      </c>
      <c r="J31" s="2">
        <v>3.3</v>
      </c>
      <c r="K31" s="2">
        <v>3.3</v>
      </c>
      <c r="L31"/>
    </row>
    <row r="32">
      <c r="A32" t="inlineStr">
        <is>
          <t>PABLO</t>
        </is>
      </c>
      <c r="B32" t="inlineStr">
        <is>
          <t>DEF/LAT</t>
        </is>
      </c>
      <c r="C32" t="inlineStr">
        <is>
          <t>rapido</t>
        </is>
      </c>
      <c r="D32" s="2">
        <v>3.0</v>
      </c>
      <c r="E32" s="2">
        <v>5.0</v>
      </c>
      <c r="F32" s="2">
        <v>3.9</v>
      </c>
      <c r="G32" s="2">
        <v>3.9</v>
      </c>
      <c r="H32" s="2">
        <v>3.9</v>
      </c>
      <c r="I32" s="2">
        <v>5.4</v>
      </c>
      <c r="J32" s="2">
        <v>5.4</v>
      </c>
      <c r="K32" s="2"/>
      <c r="L32"/>
    </row>
    <row r="33">
      <c r="A33" t="inlineStr">
        <is>
          <t>PABLO CASTILLO</t>
        </is>
      </c>
      <c r="B33" t="inlineStr">
        <is>
          <t>LAT/MED</t>
        </is>
      </c>
      <c r="C33" t="inlineStr">
        <is>
          <t>lento</t>
        </is>
      </c>
      <c r="D33" s="2">
        <v>3.0</v>
      </c>
      <c r="E33" s="2">
        <v>3.9</v>
      </c>
      <c r="F33" s="2">
        <v>3.9</v>
      </c>
      <c r="G33" s="2">
        <v>3.0</v>
      </c>
      <c r="H33" s="2">
        <v>4.3</v>
      </c>
      <c r="I33" s="2">
        <v>3.6</v>
      </c>
      <c r="J33" s="2">
        <v>3.0</v>
      </c>
      <c r="K33" s="2">
        <v>3.3</v>
      </c>
      <c r="L33"/>
    </row>
    <row r="34">
      <c r="A34" t="inlineStr">
        <is>
          <t>PABLO GARCIA</t>
        </is>
      </c>
      <c r="B34" t="inlineStr">
        <is>
          <t>MED/LAT</t>
        </is>
      </c>
      <c r="C34" t="inlineStr">
        <is>
          <t>rapido</t>
        </is>
      </c>
      <c r="D34" s="2">
        <v>2.3</v>
      </c>
      <c r="E34" s="2">
        <v>3.0</v>
      </c>
      <c r="F34" s="2">
        <v>2.7</v>
      </c>
      <c r="G34" s="2">
        <v>3.3</v>
      </c>
      <c r="H34" s="2">
        <v>3.3</v>
      </c>
      <c r="I34" s="2">
        <v>4.3</v>
      </c>
      <c r="J34" s="2">
        <v>3.9</v>
      </c>
      <c r="K34" s="2">
        <v>3.3</v>
      </c>
      <c r="L34"/>
    </row>
    <row r="35">
      <c r="A35" t="inlineStr">
        <is>
          <t>PELA</t>
        </is>
      </c>
      <c r="B35" t="inlineStr">
        <is>
          <t>DEL/MED</t>
        </is>
      </c>
      <c r="C35" t="inlineStr">
        <is>
          <t>rapido</t>
        </is>
      </c>
      <c r="D35" s="2">
        <v>4.3</v>
      </c>
      <c r="E35" s="2">
        <v>3.6</v>
      </c>
      <c r="F35" s="2">
        <v>4.3</v>
      </c>
      <c r="G35" s="2">
        <v>3.6</v>
      </c>
      <c r="H35" s="2">
        <v>2.8</v>
      </c>
      <c r="I35" s="2">
        <v>4.3</v>
      </c>
      <c r="J35" s="2">
        <v>2.2</v>
      </c>
      <c r="K35" s="2">
        <v>3.6</v>
      </c>
      <c r="L35"/>
    </row>
    <row r="36">
      <c r="A36" t="inlineStr">
        <is>
          <t>PULY</t>
        </is>
      </c>
      <c r="B36" t="inlineStr">
        <is>
          <t>DEL/MED</t>
        </is>
      </c>
      <c r="C36" t="inlineStr">
        <is>
          <t>lento</t>
        </is>
      </c>
      <c r="D36" s="2">
        <v>3.0</v>
      </c>
      <c r="E36" s="2">
        <v>1.0</v>
      </c>
      <c r="F36" s="2">
        <v>5.0</v>
      </c>
      <c r="G36" s="2">
        <v>2.2</v>
      </c>
      <c r="H36" s="2">
        <v>3.0</v>
      </c>
      <c r="I36" s="2">
        <v>2.2</v>
      </c>
      <c r="J36" s="2">
        <v>2.2</v>
      </c>
      <c r="K36" s="2">
        <v>3.3</v>
      </c>
      <c r="L36"/>
    </row>
    <row r="37">
      <c r="A37" t="inlineStr">
        <is>
          <t>RODRI CHAVEZ</t>
        </is>
      </c>
      <c r="B37" t="inlineStr">
        <is>
          <t>LAT/MED</t>
        </is>
      </c>
      <c r="C37" t="inlineStr">
        <is>
          <t>rapido</t>
        </is>
      </c>
      <c r="D37" s="2">
        <v>3.6</v>
      </c>
      <c r="E37" s="2">
        <v>4.1</v>
      </c>
      <c r="F37" s="2">
        <v>3.9</v>
      </c>
      <c r="G37" s="2">
        <v>4.3</v>
      </c>
      <c r="H37" s="2">
        <v>4.3</v>
      </c>
      <c r="I37" s="2">
        <v>4.8</v>
      </c>
      <c r="J37" s="2">
        <v>4.8</v>
      </c>
      <c r="K37" s="2">
        <v>3.6</v>
      </c>
      <c r="L37"/>
    </row>
    <row r="38">
      <c r="A38" t="inlineStr">
        <is>
          <t>RODRI SUAREZ</t>
        </is>
      </c>
      <c r="B38" t="inlineStr">
        <is>
          <t>DEF/ARQ</t>
        </is>
      </c>
      <c r="C38" t="inlineStr">
        <is>
          <t>lento</t>
        </is>
      </c>
      <c r="D38" s="2">
        <v>2.2</v>
      </c>
      <c r="E38" s="2">
        <v>3.7</v>
      </c>
      <c r="F38" s="2">
        <v>2.8</v>
      </c>
      <c r="G38" s="2">
        <v>3.0</v>
      </c>
      <c r="H38" s="2">
        <v>3.6</v>
      </c>
      <c r="I38" s="2">
        <v>3.9</v>
      </c>
      <c r="J38" s="2">
        <v>3.9</v>
      </c>
      <c r="K38" s="2">
        <v>3.9</v>
      </c>
      <c r="L38"/>
    </row>
    <row r="39">
      <c r="A39" t="inlineStr">
        <is>
          <t>SANTI</t>
        </is>
      </c>
      <c r="B39" t="inlineStr">
        <is>
          <t>ARQ/MED</t>
        </is>
      </c>
      <c r="C39" t="inlineStr">
        <is>
          <t>rapido</t>
        </is>
      </c>
      <c r="D39" s="2">
        <v>3.0</v>
      </c>
      <c r="E39" s="2">
        <v>3.0</v>
      </c>
      <c r="F39" s="2">
        <v>5.0</v>
      </c>
      <c r="G39" s="2">
        <v>4.0</v>
      </c>
      <c r="H39" s="2">
        <v>3.0</v>
      </c>
      <c r="I39" s="2">
        <v>3.0</v>
      </c>
      <c r="J39" s="2">
        <v>4.0</v>
      </c>
      <c r="K39" s="2">
        <v>3.3</v>
      </c>
      <c r="L39"/>
    </row>
    <row r="40">
      <c r="A40" t="inlineStr">
        <is>
          <t>SEBACORTEZ</t>
        </is>
      </c>
      <c r="B40" t="inlineStr">
        <is>
          <t>DEF/ARQ</t>
        </is>
      </c>
      <c r="C40" t="inlineStr">
        <is>
          <t>lento</t>
        </is>
      </c>
      <c r="D40" s="2">
        <v>3.3</v>
      </c>
      <c r="E40" s="2">
        <v>4.1</v>
      </c>
      <c r="F40" s="2">
        <v>3.9</v>
      </c>
      <c r="G40" s="2">
        <v>2.8</v>
      </c>
      <c r="H40" s="2">
        <v>3.6</v>
      </c>
      <c r="I40" s="2">
        <v>4.3</v>
      </c>
      <c r="J40" s="2">
        <v>3.0</v>
      </c>
      <c r="K40" s="2">
        <v>4.8</v>
      </c>
      <c r="L40"/>
    </row>
    <row r="41">
      <c r="A41" t="inlineStr">
        <is>
          <t>TEBO</t>
        </is>
      </c>
      <c r="B41" t="inlineStr">
        <is>
          <t>MED/DEL</t>
        </is>
      </c>
      <c r="C41" t="inlineStr">
        <is>
          <t>rapido</t>
        </is>
      </c>
      <c r="D41" s="2">
        <v>4.3</v>
      </c>
      <c r="E41" s="2">
        <v>3.9</v>
      </c>
      <c r="F41" s="2">
        <v>4.8</v>
      </c>
      <c r="G41" s="2">
        <v>4.8</v>
      </c>
      <c r="H41" s="2">
        <v>4.2</v>
      </c>
      <c r="I41" s="2">
        <v>4.8</v>
      </c>
      <c r="J41" s="2">
        <v>5.4</v>
      </c>
      <c r="K41" s="2">
        <v>3.9</v>
      </c>
      <c r="L41"/>
    </row>
    <row r="42">
      <c r="A42" t="inlineStr">
        <is>
          <t>VICTOR</t>
        </is>
      </c>
      <c r="B42" t="inlineStr">
        <is>
          <t>DEF/LAT</t>
        </is>
      </c>
      <c r="C42" t="inlineStr">
        <is>
          <t>rapido</t>
        </is>
      </c>
      <c r="D42" s="2">
        <v>3.3</v>
      </c>
      <c r="E42" s="2">
        <v>4.2</v>
      </c>
      <c r="F42" s="2">
        <v>4.6</v>
      </c>
      <c r="G42" s="2">
        <v>3.3</v>
      </c>
      <c r="H42" s="2">
        <v>4.8</v>
      </c>
      <c r="I42" s="2">
        <v>3.9</v>
      </c>
      <c r="J42" s="2">
        <v>3.9</v>
      </c>
      <c r="K42" s="2">
        <v>3.6</v>
      </c>
      <c r="L42"/>
    </row>
    <row r="43">
      <c r="A43" t="inlineStr">
        <is>
          <t>VIKINGO</t>
        </is>
      </c>
      <c r="B43" t="inlineStr">
        <is>
          <t>MED/LAT</t>
        </is>
      </c>
      <c r="C43" t="inlineStr">
        <is>
          <t>rapido</t>
        </is>
      </c>
      <c r="D43" s="2">
        <v>3.6</v>
      </c>
      <c r="E43" s="2">
        <v>3.9</v>
      </c>
      <c r="F43" s="2">
        <v>4.2</v>
      </c>
      <c r="G43" s="2">
        <v>4.8</v>
      </c>
      <c r="H43" s="2">
        <v>2.6</v>
      </c>
      <c r="I43" s="2">
        <v>2.6</v>
      </c>
      <c r="J43" s="2">
        <v>2.2</v>
      </c>
      <c r="K43" s="2">
        <v>3.9</v>
      </c>
      <c r="L43"/>
    </row>
  </sheetData>
  <autoFilter ref="A1:L4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43"/>
  <sheetViews>
    <sheetView workbookViewId="0">
      <pane ySplit="1" topLeftCell="A2" activePane="bottomLeft" state="frozen"/>
    </sheetView>
  </sheetViews>
  <cols>
    <col min="1" max="1" width="24" customWidth="1"/>
    <col min="2" max="2" width="13" customWidth="1"/>
    <col min="3" max="3" width="12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2" customWidth="1"/>
    <col min="10" max="10" width="12" customWidth="1"/>
    <col min="11" max="11" width="10" customWidth="1"/>
    <col min="12" max="12" width="28" customWidth="1"/>
  </cols>
  <sheetData>
    <row r="1">
      <c r="A1" t="inlineStr" s="1">
        <is>
          <t>Nombre jugador</t>
        </is>
      </c>
      <c r="B1" t="inlineStr" s="1">
        <is>
          <t>Posiciones</t>
        </is>
      </c>
      <c r="C1" t="inlineStr" s="1">
        <is>
          <t>Ritmo base</t>
        </is>
      </c>
      <c r="D1" t="inlineStr" s="1">
        <is>
          <t>Ataque</t>
        </is>
      </c>
      <c r="E1" t="inlineStr" s="1">
        <is>
          <t>Solidez</t>
        </is>
      </c>
      <c r="F1" t="inlineStr" s="1">
        <is>
          <t>Tecnica</t>
        </is>
      </c>
      <c r="G1" t="inlineStr" s="1">
        <is>
          <t>Ritmo</t>
        </is>
      </c>
      <c r="H1" t="inlineStr" s="1">
        <is>
          <t>Equipo</t>
        </is>
      </c>
      <c r="I1" t="inlineStr" s="1">
        <is>
          <t>Mentalidad</t>
        </is>
      </c>
      <c r="J1" t="inlineStr" s="1">
        <is>
          <t>Regularidad</t>
        </is>
      </c>
      <c r="K1" t="inlineStr" s="1">
        <is>
          <t>Arquero</t>
        </is>
      </c>
      <c r="L1" t="inlineStr" s="1">
        <is>
          <t>Comentarios</t>
        </is>
      </c>
    </row>
    <row r="2">
      <c r="A2" t="inlineStr">
        <is>
          <t>ALE CUERVO</t>
        </is>
      </c>
      <c r="B2" t="inlineStr">
        <is>
          <t>LAT/MED</t>
        </is>
      </c>
      <c r="C2" t="inlineStr">
        <is>
          <t>lento</t>
        </is>
      </c>
      <c r="D2" s="2">
        <v>2.8</v>
      </c>
      <c r="E2" s="2">
        <v>2.6</v>
      </c>
      <c r="F2" s="2">
        <v>3.3</v>
      </c>
      <c r="G2" s="2">
        <v>3.0</v>
      </c>
      <c r="H2" s="2">
        <v>3.0</v>
      </c>
      <c r="I2" s="2">
        <v>2.2</v>
      </c>
      <c r="J2" s="2">
        <v>2.8</v>
      </c>
      <c r="K2" s="2">
        <v>3.6</v>
      </c>
      <c r="L2"/>
    </row>
    <row r="3">
      <c r="A3" t="inlineStr">
        <is>
          <t>ALEXIS</t>
        </is>
      </c>
      <c r="B3" t="inlineStr">
        <is>
          <t>LAT/MED</t>
        </is>
      </c>
      <c r="C3" t="inlineStr">
        <is>
          <t>rapido</t>
        </is>
      </c>
      <c r="D3" s="2">
        <v>3.6</v>
      </c>
      <c r="E3" s="2">
        <v>3.6</v>
      </c>
      <c r="F3" s="2">
        <v>3.9</v>
      </c>
      <c r="G3" s="2">
        <v>4.8</v>
      </c>
      <c r="H3" s="2">
        <v>3.3</v>
      </c>
      <c r="I3" s="2">
        <v>4.3</v>
      </c>
      <c r="J3" s="2">
        <v>4.8</v>
      </c>
      <c r="K3" s="2">
        <v>3.3</v>
      </c>
      <c r="L3"/>
    </row>
    <row r="4">
      <c r="A4" t="inlineStr">
        <is>
          <t>ANIBAL</t>
        </is>
      </c>
      <c r="B4" t="inlineStr">
        <is>
          <t>DEL</t>
        </is>
      </c>
      <c r="C4" t="inlineStr">
        <is>
          <t>lento</t>
        </is>
      </c>
      <c r="D4" s="2">
        <v>3.7</v>
      </c>
      <c r="E4" s="2">
        <v>1.8</v>
      </c>
      <c r="F4" s="2">
        <v>3.6</v>
      </c>
      <c r="G4" s="2">
        <v>1.4</v>
      </c>
      <c r="H4" s="2">
        <v>1.8</v>
      </c>
      <c r="I4" s="2">
        <v>2.2</v>
      </c>
      <c r="J4" s="2">
        <v>2.8</v>
      </c>
      <c r="K4" s="2">
        <v>4.3</v>
      </c>
      <c r="L4"/>
    </row>
    <row r="5">
      <c r="A5" t="inlineStr">
        <is>
          <t>AUGUSTO</t>
        </is>
      </c>
      <c r="B5" t="inlineStr">
        <is>
          <t>MED/LAT</t>
        </is>
      </c>
      <c r="C5" t="inlineStr">
        <is>
          <t>rapido</t>
        </is>
      </c>
      <c r="D5" s="2">
        <v>3.7</v>
      </c>
      <c r="E5" s="2">
        <v>3.3</v>
      </c>
      <c r="F5" s="2">
        <v>4.3</v>
      </c>
      <c r="G5" s="2">
        <v>4.3</v>
      </c>
      <c r="H5" s="2">
        <v>3.9</v>
      </c>
      <c r="I5" s="2">
        <v>2.8</v>
      </c>
      <c r="J5" s="2">
        <v>2.6</v>
      </c>
      <c r="K5" s="2">
        <v>3.6</v>
      </c>
      <c r="L5"/>
    </row>
    <row r="6">
      <c r="A6" t="inlineStr">
        <is>
          <t>BETO</t>
        </is>
      </c>
      <c r="B6" t="inlineStr">
        <is>
          <t>DEL/MED</t>
        </is>
      </c>
      <c r="C6" t="inlineStr">
        <is>
          <t>lento</t>
        </is>
      </c>
      <c r="D6" s="2">
        <v>3.7</v>
      </c>
      <c r="E6" s="2">
        <v>1.8</v>
      </c>
      <c r="F6" s="2">
        <v>3.6</v>
      </c>
      <c r="G6" s="2">
        <v>2.2</v>
      </c>
      <c r="H6" s="2">
        <v>3.0</v>
      </c>
      <c r="I6" s="2">
        <v>3.6</v>
      </c>
      <c r="J6" s="2">
        <v>4.0</v>
      </c>
      <c r="K6" s="2">
        <v>3.3</v>
      </c>
      <c r="L6"/>
    </row>
    <row r="7">
      <c r="A7" t="inlineStr">
        <is>
          <t>BRIAN</t>
        </is>
      </c>
      <c r="B7" t="inlineStr">
        <is>
          <t>DEL/MED</t>
        </is>
      </c>
      <c r="C7" t="inlineStr">
        <is>
          <t>rapido</t>
        </is>
      </c>
      <c r="D7" s="2">
        <v>5.4</v>
      </c>
      <c r="E7" s="2">
        <v>3.9</v>
      </c>
      <c r="F7" s="2">
        <v>5.4</v>
      </c>
      <c r="G7" s="2">
        <v>3.9</v>
      </c>
      <c r="H7" s="2">
        <v>4.3</v>
      </c>
      <c r="I7" s="2">
        <v>2.8</v>
      </c>
      <c r="J7" s="2">
        <v>4.8</v>
      </c>
      <c r="K7" s="2"/>
      <c r="L7"/>
    </row>
    <row r="8">
      <c r="A8" t="inlineStr">
        <is>
          <t>CAMILO</t>
        </is>
      </c>
      <c r="B8" t="inlineStr">
        <is>
          <t>MED/DEL</t>
        </is>
      </c>
      <c r="C8" t="inlineStr">
        <is>
          <t>rapido</t>
        </is>
      </c>
      <c r="D8" s="2">
        <v>3.9</v>
      </c>
      <c r="E8" s="2">
        <v>3.0</v>
      </c>
      <c r="F8" s="2">
        <v>5.0</v>
      </c>
      <c r="G8" s="2">
        <v>4.3</v>
      </c>
      <c r="H8" s="2">
        <v>4.0</v>
      </c>
      <c r="I8" s="2">
        <v>4.0</v>
      </c>
      <c r="J8" s="2">
        <v>4.0</v>
      </c>
      <c r="K8" s="2">
        <v>3.3</v>
      </c>
      <c r="L8"/>
    </row>
    <row r="9">
      <c r="A9" t="inlineStr">
        <is>
          <t>CESAR</t>
        </is>
      </c>
      <c r="B9" t="inlineStr">
        <is>
          <t>DEF/LAT</t>
        </is>
      </c>
      <c r="C9" t="inlineStr">
        <is>
          <t>rapido</t>
        </is>
      </c>
      <c r="D9" s="2">
        <v>3.6</v>
      </c>
      <c r="E9" s="2">
        <v>4.6</v>
      </c>
      <c r="F9" s="2">
        <v>4.3</v>
      </c>
      <c r="G9" s="2">
        <v>3.3</v>
      </c>
      <c r="H9" s="2">
        <v>4.1</v>
      </c>
      <c r="I9" s="2">
        <v>3.6</v>
      </c>
      <c r="J9" s="2">
        <v>4.8</v>
      </c>
      <c r="K9" s="2"/>
      <c r="L9"/>
    </row>
    <row r="10">
      <c r="A10" t="inlineStr">
        <is>
          <t>COMANCHE</t>
        </is>
      </c>
      <c r="B10" t="inlineStr">
        <is>
          <t>LAT/MED</t>
        </is>
      </c>
      <c r="C10" t="inlineStr">
        <is>
          <t>lento</t>
        </is>
      </c>
      <c r="D10" s="2">
        <v>2.8</v>
      </c>
      <c r="E10" s="2">
        <v>2.7</v>
      </c>
      <c r="F10" s="2">
        <v>3.6</v>
      </c>
      <c r="G10" s="2">
        <v>2.0</v>
      </c>
      <c r="H10" s="2">
        <v>1.8</v>
      </c>
      <c r="I10" s="2">
        <v>3.0</v>
      </c>
      <c r="J10" s="2">
        <v>3.0</v>
      </c>
      <c r="K10" s="2">
        <v>3.9</v>
      </c>
      <c r="L10"/>
    </row>
    <row r="11">
      <c r="A11" t="inlineStr">
        <is>
          <t>CRISTIAN</t>
        </is>
      </c>
      <c r="B11" t="inlineStr">
        <is>
          <t>DEL/ARQ</t>
        </is>
      </c>
      <c r="C11" t="inlineStr">
        <is>
          <t>lento</t>
        </is>
      </c>
      <c r="D11" s="2">
        <v>2.6</v>
      </c>
      <c r="E11" s="2">
        <v>1.4</v>
      </c>
      <c r="F11" s="2">
        <v>2.8</v>
      </c>
      <c r="G11" s="2">
        <v>2.2</v>
      </c>
      <c r="H11" s="2">
        <v>2.8</v>
      </c>
      <c r="I11" s="2">
        <v>3.9</v>
      </c>
      <c r="J11" s="2">
        <v>2.8</v>
      </c>
      <c r="K11" s="2">
        <v>3.6</v>
      </c>
      <c r="L11"/>
    </row>
    <row r="12">
      <c r="A12" t="inlineStr">
        <is>
          <t>CUERVO</t>
        </is>
      </c>
      <c r="B12" t="inlineStr">
        <is>
          <t>DEL/DEF</t>
        </is>
      </c>
      <c r="C12" t="inlineStr">
        <is>
          <t>rapido</t>
        </is>
      </c>
      <c r="D12" s="2">
        <v>6.0</v>
      </c>
      <c r="E12" s="2">
        <v>3.6</v>
      </c>
      <c r="F12" s="2">
        <v>5.4</v>
      </c>
      <c r="G12" s="2">
        <v>3.6</v>
      </c>
      <c r="H12" s="2">
        <v>2.8</v>
      </c>
      <c r="I12" s="2">
        <v>3.3</v>
      </c>
      <c r="J12" s="2">
        <v>2.8</v>
      </c>
      <c r="K12" s="2"/>
      <c r="L12"/>
    </row>
    <row r="13">
      <c r="A13" t="inlineStr">
        <is>
          <t>ELIAN</t>
        </is>
      </c>
      <c r="B13" t="inlineStr">
        <is>
          <t>DEF/DEL</t>
        </is>
      </c>
      <c r="C13" t="inlineStr">
        <is>
          <t>lento</t>
        </is>
      </c>
      <c r="D13" s="2">
        <v>2.2</v>
      </c>
      <c r="E13" s="2">
        <v>1.4</v>
      </c>
      <c r="F13" s="2">
        <v>2.9</v>
      </c>
      <c r="G13" s="2">
        <v>1.4</v>
      </c>
      <c r="H13" s="2">
        <v>2.8</v>
      </c>
      <c r="I13" s="2">
        <v>2.8</v>
      </c>
      <c r="J13" s="2">
        <v>2.0</v>
      </c>
      <c r="K13" s="2">
        <v>3.3</v>
      </c>
      <c r="L13"/>
    </row>
    <row r="14">
      <c r="A14" t="inlineStr">
        <is>
          <t>FACU</t>
        </is>
      </c>
      <c r="B14" t="inlineStr">
        <is>
          <t>DEF/DEL</t>
        </is>
      </c>
      <c r="C14" t="inlineStr">
        <is>
          <t>lento</t>
        </is>
      </c>
      <c r="D14" s="2">
        <v>2.6</v>
      </c>
      <c r="E14" s="2">
        <v>4.1</v>
      </c>
      <c r="F14" s="2">
        <v>2.9</v>
      </c>
      <c r="G14" s="2">
        <v>2.8</v>
      </c>
      <c r="H14" s="2">
        <v>3.0</v>
      </c>
      <c r="I14" s="2">
        <v>2.6</v>
      </c>
      <c r="J14" s="2">
        <v>3.9</v>
      </c>
      <c r="K14" s="2">
        <v>2.8</v>
      </c>
      <c r="L14"/>
    </row>
    <row r="15">
      <c r="A15" t="inlineStr">
        <is>
          <t>FRANCISCO</t>
        </is>
      </c>
      <c r="B15" t="inlineStr">
        <is>
          <t>ARQ/DEL</t>
        </is>
      </c>
      <c r="C15" t="inlineStr">
        <is>
          <t>lento</t>
        </is>
      </c>
      <c r="D15" s="2">
        <v>1.4</v>
      </c>
      <c r="E15" s="2">
        <v>2.2</v>
      </c>
      <c r="F15" s="2">
        <v>1.4</v>
      </c>
      <c r="G15" s="2">
        <v>3.0</v>
      </c>
      <c r="H15" s="2">
        <v>2.2</v>
      </c>
      <c r="I15" s="2">
        <v>3.6</v>
      </c>
      <c r="J15" s="2">
        <v>2.8</v>
      </c>
      <c r="K15" s="2">
        <v>3.6</v>
      </c>
      <c r="L15"/>
    </row>
    <row r="16">
      <c r="A16" t="inlineStr">
        <is>
          <t>FRANCO COMOLLI</t>
        </is>
      </c>
      <c r="B16" t="inlineStr">
        <is>
          <t>MED/DEL</t>
        </is>
      </c>
      <c r="C16" t="inlineStr">
        <is>
          <t>rapido</t>
        </is>
      </c>
      <c r="D16" s="2">
        <v>4.3</v>
      </c>
      <c r="E16" s="2">
        <v>4.3</v>
      </c>
      <c r="F16" s="2">
        <v>5.0</v>
      </c>
      <c r="G16" s="2">
        <v>4.8</v>
      </c>
      <c r="H16" s="2">
        <v>4.8</v>
      </c>
      <c r="I16" s="2">
        <v>4.8</v>
      </c>
      <c r="J16" s="2">
        <v>5.4</v>
      </c>
      <c r="K16" s="2">
        <v>3.3</v>
      </c>
      <c r="L16"/>
    </row>
    <row r="17">
      <c r="A17" t="inlineStr">
        <is>
          <t>FRANCOK</t>
        </is>
      </c>
      <c r="B17" t="inlineStr">
        <is>
          <t>ARQ/LAT</t>
        </is>
      </c>
      <c r="C17" t="inlineStr">
        <is>
          <t>rapido</t>
        </is>
      </c>
      <c r="D17" s="2">
        <v>1.4</v>
      </c>
      <c r="E17" s="2">
        <v>2.8</v>
      </c>
      <c r="F17" s="2">
        <v>2.6</v>
      </c>
      <c r="G17" s="2">
        <v>3.6</v>
      </c>
      <c r="H17" s="2">
        <v>3.0</v>
      </c>
      <c r="I17" s="2">
        <v>3.0</v>
      </c>
      <c r="J17" s="2">
        <v>3.3</v>
      </c>
      <c r="K17" s="2">
        <v>3.9</v>
      </c>
      <c r="L17"/>
    </row>
    <row r="18">
      <c r="A18" t="inlineStr">
        <is>
          <t>FRANQUITO</t>
        </is>
      </c>
      <c r="B18" t="inlineStr">
        <is>
          <t>MED</t>
        </is>
      </c>
      <c r="C18" t="inlineStr">
        <is>
          <t>rapido</t>
        </is>
      </c>
      <c r="D18" s="2">
        <v>3.4</v>
      </c>
      <c r="E18" s="2">
        <v>3.0</v>
      </c>
      <c r="F18" s="2">
        <v>3.9</v>
      </c>
      <c r="G18" s="2">
        <v>4.3</v>
      </c>
      <c r="H18" s="2">
        <v>3.3</v>
      </c>
      <c r="I18" s="2">
        <v>3.3</v>
      </c>
      <c r="J18" s="2">
        <v>4.0</v>
      </c>
      <c r="K18" s="2">
        <v>3.6</v>
      </c>
      <c r="L18"/>
    </row>
    <row r="19">
      <c r="A19" t="inlineStr">
        <is>
          <t>GONZA</t>
        </is>
      </c>
      <c r="B19" t="inlineStr">
        <is>
          <t>ARQ/DEF</t>
        </is>
      </c>
      <c r="C19" t="inlineStr">
        <is>
          <t>lento</t>
        </is>
      </c>
      <c r="D19" s="2">
        <v>2.6</v>
      </c>
      <c r="E19" s="2">
        <v>3.9</v>
      </c>
      <c r="F19" s="2">
        <v>3.0</v>
      </c>
      <c r="G19" s="2">
        <v>3.0</v>
      </c>
      <c r="H19" s="2">
        <v>3.3</v>
      </c>
      <c r="I19" s="2">
        <v>3.3</v>
      </c>
      <c r="J19" s="2">
        <v>3.9</v>
      </c>
      <c r="K19" s="2">
        <v>3.9</v>
      </c>
      <c r="L19"/>
    </row>
    <row r="20">
      <c r="A20" t="inlineStr">
        <is>
          <t>GUILLE</t>
        </is>
      </c>
      <c r="B20" t="inlineStr">
        <is>
          <t>LAT/ARQ</t>
        </is>
      </c>
      <c r="C20" t="inlineStr">
        <is>
          <t>lento</t>
        </is>
      </c>
      <c r="D20" s="2">
        <v>2.2</v>
      </c>
      <c r="E20" s="2">
        <v>1.4</v>
      </c>
      <c r="F20" s="2">
        <v>2.6</v>
      </c>
      <c r="G20" s="2">
        <v>1.4</v>
      </c>
      <c r="H20" s="2">
        <v>2.8</v>
      </c>
      <c r="I20" s="2">
        <v>3.9</v>
      </c>
      <c r="J20" s="2">
        <v>2.8</v>
      </c>
      <c r="K20" s="2">
        <v>3.3</v>
      </c>
      <c r="L20"/>
    </row>
    <row r="21">
      <c r="A21" t="inlineStr">
        <is>
          <t>ISMA</t>
        </is>
      </c>
      <c r="B21" t="inlineStr">
        <is>
          <t>MED/LAT</t>
        </is>
      </c>
      <c r="C21" t="inlineStr">
        <is>
          <t>rapido</t>
        </is>
      </c>
      <c r="D21" s="2">
        <v>3.6</v>
      </c>
      <c r="E21" s="2">
        <v>3.9</v>
      </c>
      <c r="F21" s="2">
        <v>4.8</v>
      </c>
      <c r="G21" s="2">
        <v>3.9</v>
      </c>
      <c r="H21" s="2">
        <v>4.6</v>
      </c>
      <c r="I21" s="2">
        <v>4.3</v>
      </c>
      <c r="J21" s="2">
        <v>4.3</v>
      </c>
      <c r="K21" s="2">
        <v>3.6</v>
      </c>
      <c r="L21"/>
    </row>
    <row r="22">
      <c r="A22" t="inlineStr">
        <is>
          <t>JAVI</t>
        </is>
      </c>
      <c r="B22" t="inlineStr">
        <is>
          <t>DEF/ARQ</t>
        </is>
      </c>
      <c r="C22" t="inlineStr">
        <is>
          <t>lento</t>
        </is>
      </c>
      <c r="D22" s="2">
        <v>2.8</v>
      </c>
      <c r="E22" s="2">
        <v>3.7</v>
      </c>
      <c r="F22" s="2">
        <v>3.2</v>
      </c>
      <c r="G22" s="2">
        <v>3.0</v>
      </c>
      <c r="H22" s="2">
        <v>3.3</v>
      </c>
      <c r="I22" s="2">
        <v>3.9</v>
      </c>
      <c r="J22" s="2">
        <v>3.0</v>
      </c>
      <c r="K22" s="2">
        <v>4.8</v>
      </c>
      <c r="L22"/>
    </row>
    <row r="23">
      <c r="A23" t="inlineStr">
        <is>
          <t>JEAN FRANCO</t>
        </is>
      </c>
      <c r="B23" t="inlineStr">
        <is>
          <t>DEL</t>
        </is>
      </c>
      <c r="C23" t="inlineStr">
        <is>
          <t>lento</t>
        </is>
      </c>
      <c r="D23" s="2">
        <v>2.0</v>
      </c>
      <c r="E23" s="2">
        <v>2.0</v>
      </c>
      <c r="F23" s="2">
        <v>3.0</v>
      </c>
      <c r="G23" s="2">
        <v>3.0</v>
      </c>
      <c r="H23" s="2">
        <v>3.0</v>
      </c>
      <c r="I23" s="2">
        <v>4.0</v>
      </c>
      <c r="J23" s="2">
        <v>2.2</v>
      </c>
      <c r="K23" s="2">
        <v>2.6</v>
      </c>
      <c r="L23"/>
    </row>
    <row r="24">
      <c r="A24" t="inlineStr">
        <is>
          <t>MANU</t>
        </is>
      </c>
      <c r="B24" t="inlineStr">
        <is>
          <t>LAT/MED</t>
        </is>
      </c>
      <c r="C24" t="inlineStr">
        <is>
          <t>rapido</t>
        </is>
      </c>
      <c r="D24" s="2">
        <v>4.2</v>
      </c>
      <c r="E24" s="2">
        <v>4.8</v>
      </c>
      <c r="F24" s="2">
        <v>4.3</v>
      </c>
      <c r="G24" s="2">
        <v>6.0</v>
      </c>
      <c r="H24" s="2">
        <v>4.3</v>
      </c>
      <c r="I24" s="2">
        <v>3.3</v>
      </c>
      <c r="J24" s="2">
        <v>4.8</v>
      </c>
      <c r="K24" s="2"/>
      <c r="L24"/>
    </row>
    <row r="25">
      <c r="A25" t="inlineStr">
        <is>
          <t>MARCELO</t>
        </is>
      </c>
      <c r="B25" t="inlineStr">
        <is>
          <t>MED/LAT</t>
        </is>
      </c>
      <c r="C25" t="inlineStr">
        <is>
          <t>lento</t>
        </is>
      </c>
      <c r="D25" s="2">
        <v>2.7</v>
      </c>
      <c r="E25" s="2">
        <v>1.8</v>
      </c>
      <c r="F25" s="2">
        <v>3.7</v>
      </c>
      <c r="G25" s="2">
        <v>2.2</v>
      </c>
      <c r="H25" s="2">
        <v>4.2</v>
      </c>
      <c r="I25" s="2">
        <v>1.4</v>
      </c>
      <c r="J25" s="2">
        <v>2.6</v>
      </c>
      <c r="K25" s="2">
        <v>3.3</v>
      </c>
      <c r="L25"/>
    </row>
    <row r="26">
      <c r="A26" t="inlineStr">
        <is>
          <t>MARIAN</t>
        </is>
      </c>
      <c r="B26" t="inlineStr">
        <is>
          <t>DEL/MED</t>
        </is>
      </c>
      <c r="C26" t="inlineStr">
        <is>
          <t>lento</t>
        </is>
      </c>
      <c r="D26" s="2">
        <v>4.3</v>
      </c>
      <c r="E26" s="2">
        <v>1.8</v>
      </c>
      <c r="F26" s="2">
        <v>4.1</v>
      </c>
      <c r="G26" s="2">
        <v>2.2</v>
      </c>
      <c r="H26" s="2">
        <v>3.6</v>
      </c>
      <c r="I26" s="2">
        <v>2.8</v>
      </c>
      <c r="J26" s="2">
        <v>3.3</v>
      </c>
      <c r="K26" s="2">
        <v>3.9</v>
      </c>
      <c r="L26"/>
    </row>
    <row r="27">
      <c r="A27" t="inlineStr">
        <is>
          <t>MATI BRAIAN</t>
        </is>
      </c>
      <c r="B27" t="inlineStr">
        <is>
          <t>DEF/MED</t>
        </is>
      </c>
      <c r="C27" t="inlineStr">
        <is>
          <t>rapido</t>
        </is>
      </c>
      <c r="D27" s="2">
        <v>3.6</v>
      </c>
      <c r="E27" s="2">
        <v>3.3</v>
      </c>
      <c r="F27" s="2">
        <v>3.9</v>
      </c>
      <c r="G27" s="2">
        <v>4.8</v>
      </c>
      <c r="H27" s="2">
        <v>2.6</v>
      </c>
      <c r="I27" s="2">
        <v>2.8</v>
      </c>
      <c r="J27" s="2">
        <v>3.3</v>
      </c>
      <c r="K27" s="2">
        <v>3.4</v>
      </c>
      <c r="L27"/>
    </row>
    <row r="28">
      <c r="A28" t="inlineStr">
        <is>
          <t>MATI ROSALES</t>
        </is>
      </c>
      <c r="B28" t="inlineStr">
        <is>
          <t>MED/LAT</t>
        </is>
      </c>
      <c r="C28" t="inlineStr">
        <is>
          <t>rapido</t>
        </is>
      </c>
      <c r="D28" s="2">
        <v>3.9</v>
      </c>
      <c r="E28" s="2">
        <v>4.1</v>
      </c>
      <c r="F28" s="2">
        <v>6.0</v>
      </c>
      <c r="G28" s="2">
        <v>3.6</v>
      </c>
      <c r="H28" s="2">
        <v>5.4</v>
      </c>
      <c r="I28" s="2">
        <v>3.9</v>
      </c>
      <c r="J28" s="2">
        <v>4.3</v>
      </c>
      <c r="K28" s="2"/>
      <c r="L28"/>
    </row>
    <row r="29">
      <c r="A29" t="inlineStr">
        <is>
          <t>MAURI</t>
        </is>
      </c>
      <c r="B29" t="inlineStr">
        <is>
          <t>DEL</t>
        </is>
      </c>
      <c r="C29" t="inlineStr">
        <is>
          <t>rapido</t>
        </is>
      </c>
      <c r="D29" s="2">
        <v>3.9</v>
      </c>
      <c r="E29" s="2">
        <v>2.6</v>
      </c>
      <c r="F29" s="2">
        <v>3.3</v>
      </c>
      <c r="G29" s="2">
        <v>4.0</v>
      </c>
      <c r="H29" s="2">
        <v>3.3</v>
      </c>
      <c r="I29" s="2">
        <v>3.9</v>
      </c>
      <c r="J29" s="2">
        <v>3.6</v>
      </c>
      <c r="K29" s="2">
        <v>3.3</v>
      </c>
      <c r="L29"/>
    </row>
    <row r="30">
      <c r="A30" t="inlineStr">
        <is>
          <t>MAXI</t>
        </is>
      </c>
      <c r="B30" t="inlineStr">
        <is>
          <t>MED</t>
        </is>
      </c>
      <c r="C30" t="inlineStr">
        <is>
          <t>lento</t>
        </is>
      </c>
      <c r="D30" s="2">
        <v>2.8</v>
      </c>
      <c r="E30" s="2">
        <v>1.8</v>
      </c>
      <c r="F30" s="2">
        <v>3.6</v>
      </c>
      <c r="G30" s="2">
        <v>2.0</v>
      </c>
      <c r="H30" s="2">
        <v>3.0</v>
      </c>
      <c r="I30" s="2">
        <v>2.8</v>
      </c>
      <c r="J30" s="2">
        <v>2.2</v>
      </c>
      <c r="K30" s="2">
        <v>2.5</v>
      </c>
      <c r="L30"/>
    </row>
    <row r="31">
      <c r="A31" t="inlineStr">
        <is>
          <t>NICO</t>
        </is>
      </c>
      <c r="B31" t="inlineStr">
        <is>
          <t>MED/LAT</t>
        </is>
      </c>
      <c r="C31" t="inlineStr">
        <is>
          <t>rapido</t>
        </is>
      </c>
      <c r="D31" s="2">
        <v>3.9</v>
      </c>
      <c r="E31" s="2">
        <v>2.6</v>
      </c>
      <c r="F31" s="2">
        <v>3.9</v>
      </c>
      <c r="G31" s="2">
        <v>3.3</v>
      </c>
      <c r="H31" s="2">
        <v>3.9</v>
      </c>
      <c r="I31" s="2">
        <v>3.3</v>
      </c>
      <c r="J31" s="2">
        <v>3.3</v>
      </c>
      <c r="K31" s="2">
        <v>3.3</v>
      </c>
      <c r="L31"/>
    </row>
    <row r="32">
      <c r="A32" t="inlineStr">
        <is>
          <t>PABLO</t>
        </is>
      </c>
      <c r="B32" t="inlineStr">
        <is>
          <t>DEF/LAT</t>
        </is>
      </c>
      <c r="C32" t="inlineStr">
        <is>
          <t>rapido</t>
        </is>
      </c>
      <c r="D32" s="2">
        <v>3.0</v>
      </c>
      <c r="E32" s="2">
        <v>5.0</v>
      </c>
      <c r="F32" s="2">
        <v>3.9</v>
      </c>
      <c r="G32" s="2">
        <v>3.9</v>
      </c>
      <c r="H32" s="2">
        <v>3.9</v>
      </c>
      <c r="I32" s="2">
        <v>5.4</v>
      </c>
      <c r="J32" s="2">
        <v>5.4</v>
      </c>
      <c r="K32" s="2"/>
      <c r="L32"/>
    </row>
    <row r="33">
      <c r="A33" t="inlineStr">
        <is>
          <t>PABLO CASTILLO</t>
        </is>
      </c>
      <c r="B33" t="inlineStr">
        <is>
          <t>LAT/MED</t>
        </is>
      </c>
      <c r="C33" t="inlineStr">
        <is>
          <t>lento</t>
        </is>
      </c>
      <c r="D33" s="2">
        <v>3.0</v>
      </c>
      <c r="E33" s="2">
        <v>3.9</v>
      </c>
      <c r="F33" s="2">
        <v>3.9</v>
      </c>
      <c r="G33" s="2">
        <v>3.0</v>
      </c>
      <c r="H33" s="2">
        <v>4.3</v>
      </c>
      <c r="I33" s="2">
        <v>3.6</v>
      </c>
      <c r="J33" s="2">
        <v>3.0</v>
      </c>
      <c r="K33" s="2">
        <v>3.3</v>
      </c>
      <c r="L33"/>
    </row>
    <row r="34">
      <c r="A34" t="inlineStr">
        <is>
          <t>PABLO GARCIA</t>
        </is>
      </c>
      <c r="B34" t="inlineStr">
        <is>
          <t>MED/LAT</t>
        </is>
      </c>
      <c r="C34" t="inlineStr">
        <is>
          <t>rapido</t>
        </is>
      </c>
      <c r="D34" s="2">
        <v>2.3</v>
      </c>
      <c r="E34" s="2">
        <v>3.0</v>
      </c>
      <c r="F34" s="2">
        <v>2.7</v>
      </c>
      <c r="G34" s="2">
        <v>3.3</v>
      </c>
      <c r="H34" s="2">
        <v>3.3</v>
      </c>
      <c r="I34" s="2">
        <v>4.3</v>
      </c>
      <c r="J34" s="2">
        <v>3.9</v>
      </c>
      <c r="K34" s="2">
        <v>3.3</v>
      </c>
      <c r="L34"/>
    </row>
    <row r="35">
      <c r="A35" t="inlineStr">
        <is>
          <t>PELA</t>
        </is>
      </c>
      <c r="B35" t="inlineStr">
        <is>
          <t>DEL/MED</t>
        </is>
      </c>
      <c r="C35" t="inlineStr">
        <is>
          <t>rapido</t>
        </is>
      </c>
      <c r="D35" s="2">
        <v>4.3</v>
      </c>
      <c r="E35" s="2">
        <v>3.6</v>
      </c>
      <c r="F35" s="2">
        <v>4.3</v>
      </c>
      <c r="G35" s="2">
        <v>3.6</v>
      </c>
      <c r="H35" s="2">
        <v>2.8</v>
      </c>
      <c r="I35" s="2">
        <v>4.3</v>
      </c>
      <c r="J35" s="2">
        <v>2.2</v>
      </c>
      <c r="K35" s="2">
        <v>3.6</v>
      </c>
      <c r="L35"/>
    </row>
    <row r="36">
      <c r="A36" t="inlineStr">
        <is>
          <t>PULY</t>
        </is>
      </c>
      <c r="B36" t="inlineStr">
        <is>
          <t>DEL/MED</t>
        </is>
      </c>
      <c r="C36" t="inlineStr">
        <is>
          <t>lento</t>
        </is>
      </c>
      <c r="D36" s="2">
        <v>3.0</v>
      </c>
      <c r="E36" s="2">
        <v>1.0</v>
      </c>
      <c r="F36" s="2">
        <v>5.0</v>
      </c>
      <c r="G36" s="2">
        <v>2.2</v>
      </c>
      <c r="H36" s="2">
        <v>3.0</v>
      </c>
      <c r="I36" s="2">
        <v>2.2</v>
      </c>
      <c r="J36" s="2">
        <v>2.2</v>
      </c>
      <c r="K36" s="2">
        <v>3.3</v>
      </c>
      <c r="L36"/>
    </row>
    <row r="37">
      <c r="A37" t="inlineStr">
        <is>
          <t>RODRI CHAVEZ</t>
        </is>
      </c>
      <c r="B37" t="inlineStr">
        <is>
          <t>LAT/MED</t>
        </is>
      </c>
      <c r="C37" t="inlineStr">
        <is>
          <t>rapido</t>
        </is>
      </c>
      <c r="D37" s="2">
        <v>3.6</v>
      </c>
      <c r="E37" s="2">
        <v>4.1</v>
      </c>
      <c r="F37" s="2">
        <v>3.9</v>
      </c>
      <c r="G37" s="2">
        <v>4.3</v>
      </c>
      <c r="H37" s="2">
        <v>4.3</v>
      </c>
      <c r="I37" s="2">
        <v>4.8</v>
      </c>
      <c r="J37" s="2">
        <v>4.8</v>
      </c>
      <c r="K37" s="2">
        <v>3.6</v>
      </c>
      <c r="L37"/>
    </row>
    <row r="38">
      <c r="A38" t="inlineStr">
        <is>
          <t>RODRI SUAREZ</t>
        </is>
      </c>
      <c r="B38" t="inlineStr">
        <is>
          <t>DEF/ARQ</t>
        </is>
      </c>
      <c r="C38" t="inlineStr">
        <is>
          <t>lento</t>
        </is>
      </c>
      <c r="D38" s="2">
        <v>2.2</v>
      </c>
      <c r="E38" s="2">
        <v>3.7</v>
      </c>
      <c r="F38" s="2">
        <v>2.8</v>
      </c>
      <c r="G38" s="2">
        <v>3.0</v>
      </c>
      <c r="H38" s="2">
        <v>3.6</v>
      </c>
      <c r="I38" s="2">
        <v>3.9</v>
      </c>
      <c r="J38" s="2">
        <v>3.9</v>
      </c>
      <c r="K38" s="2">
        <v>3.9</v>
      </c>
      <c r="L38"/>
    </row>
    <row r="39">
      <c r="A39" t="inlineStr">
        <is>
          <t>SANTI</t>
        </is>
      </c>
      <c r="B39" t="inlineStr">
        <is>
          <t>ARQ/MED</t>
        </is>
      </c>
      <c r="C39" t="inlineStr">
        <is>
          <t>rapido</t>
        </is>
      </c>
      <c r="D39" s="2">
        <v>3.0</v>
      </c>
      <c r="E39" s="2">
        <v>3.0</v>
      </c>
      <c r="F39" s="2">
        <v>5.0</v>
      </c>
      <c r="G39" s="2">
        <v>4.0</v>
      </c>
      <c r="H39" s="2">
        <v>3.0</v>
      </c>
      <c r="I39" s="2">
        <v>3.0</v>
      </c>
      <c r="J39" s="2">
        <v>4.0</v>
      </c>
      <c r="K39" s="2">
        <v>3.3</v>
      </c>
      <c r="L39"/>
    </row>
    <row r="40">
      <c r="A40" t="inlineStr">
        <is>
          <t>SEBACORTEZ</t>
        </is>
      </c>
      <c r="B40" t="inlineStr">
        <is>
          <t>DEF/ARQ</t>
        </is>
      </c>
      <c r="C40" t="inlineStr">
        <is>
          <t>lento</t>
        </is>
      </c>
      <c r="D40" s="2">
        <v>3.3</v>
      </c>
      <c r="E40" s="2">
        <v>4.1</v>
      </c>
      <c r="F40" s="2">
        <v>3.9</v>
      </c>
      <c r="G40" s="2">
        <v>2.8</v>
      </c>
      <c r="H40" s="2">
        <v>3.6</v>
      </c>
      <c r="I40" s="2">
        <v>4.3</v>
      </c>
      <c r="J40" s="2">
        <v>3.0</v>
      </c>
      <c r="K40" s="2">
        <v>4.8</v>
      </c>
      <c r="L40"/>
    </row>
    <row r="41">
      <c r="A41" t="inlineStr">
        <is>
          <t>TEBO</t>
        </is>
      </c>
      <c r="B41" t="inlineStr">
        <is>
          <t>MED/DEL</t>
        </is>
      </c>
      <c r="C41" t="inlineStr">
        <is>
          <t>rapido</t>
        </is>
      </c>
      <c r="D41" s="2">
        <v>4.3</v>
      </c>
      <c r="E41" s="2">
        <v>3.9</v>
      </c>
      <c r="F41" s="2">
        <v>4.8</v>
      </c>
      <c r="G41" s="2">
        <v>4.8</v>
      </c>
      <c r="H41" s="2">
        <v>4.2</v>
      </c>
      <c r="I41" s="2">
        <v>4.8</v>
      </c>
      <c r="J41" s="2">
        <v>5.4</v>
      </c>
      <c r="K41" s="2">
        <v>3.9</v>
      </c>
      <c r="L41"/>
    </row>
    <row r="42">
      <c r="A42" t="inlineStr">
        <is>
          <t>VICTOR</t>
        </is>
      </c>
      <c r="B42" t="inlineStr">
        <is>
          <t>DEF/LAT</t>
        </is>
      </c>
      <c r="C42" t="inlineStr">
        <is>
          <t>rapido</t>
        </is>
      </c>
      <c r="D42" s="2">
        <v>3.3</v>
      </c>
      <c r="E42" s="2">
        <v>4.2</v>
      </c>
      <c r="F42" s="2">
        <v>4.6</v>
      </c>
      <c r="G42" s="2">
        <v>3.3</v>
      </c>
      <c r="H42" s="2">
        <v>4.8</v>
      </c>
      <c r="I42" s="2">
        <v>3.9</v>
      </c>
      <c r="J42" s="2">
        <v>3.9</v>
      </c>
      <c r="K42" s="2">
        <v>3.6</v>
      </c>
      <c r="L42"/>
    </row>
    <row r="43">
      <c r="A43" t="inlineStr">
        <is>
          <t>VIKINGO</t>
        </is>
      </c>
      <c r="B43" t="inlineStr">
        <is>
          <t>MED/LAT</t>
        </is>
      </c>
      <c r="C43" t="inlineStr">
        <is>
          <t>rapido</t>
        </is>
      </c>
      <c r="D43" s="2">
        <v>3.6</v>
      </c>
      <c r="E43" s="2">
        <v>3.9</v>
      </c>
      <c r="F43" s="2">
        <v>4.2</v>
      </c>
      <c r="G43" s="2">
        <v>4.8</v>
      </c>
      <c r="H43" s="2">
        <v>2.6</v>
      </c>
      <c r="I43" s="2">
        <v>2.6</v>
      </c>
      <c r="J43" s="2">
        <v>2.2</v>
      </c>
      <c r="K43" s="2">
        <v>3.9</v>
      </c>
      <c r="L43"/>
    </row>
  </sheetData>
  <autoFilter ref="A1:L4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cols>
    <col min="1" max="1" width="110" customWidth="1"/>
  </cols>
  <sheetData>
    <row r="1">
      <c r="A1" t="inlineStr" s="1">
        <is>
          <t>Planilla de carga de stats - Goodfellas</t>
        </is>
      </c>
    </row>
    <row r="2">
      <c r="A2" t="inlineStr">
        <is>
          <t>Uso recomendado</t>
        </is>
      </c>
    </row>
    <row r="3">
      <c r="A3" t="inlineStr">
        <is>
          <t>Subir este archivo a Google Drive y abrirlo con Google Sheets. Compartir el MISMO archivo con los 5 directivos con permiso de editor.</t>
        </is>
      </c>
    </row>
    <row r="4">
      <c r="A4" t="inlineStr">
        <is>
          <t>Cada directivo debe completar solamente su pesta?a: Directivo 1, Directivo 2, etc.</t>
        </is>
      </c>
    </row>
    <row r="5">
      <c r="A5" t="inlineStr">
        <is>
          <t>La pesta?a Consolidado promedia automaticamente los valores numericos de los 5 directivos.</t>
        </is>
      </c>
    </row>
    <row r="6">
      <c r="A6" t="inlineStr">
        <is>
          <t>Escala sugerida: 1 a 6, usando decimales si hace falta.</t>
        </is>
      </c>
    </row>
    <row r="7">
      <c r="A7" t="inlineStr">
        <is>
          <t>Columnas: Ataque, Solidez, Tecnica, Ritmo, Equipo, Mentalidad, Regularidad, Arquero.</t>
        </is>
      </c>
    </row>
    <row r="8">
      <c r="A8" t="inlineStr">
        <is>
          <t>Comentarios es libre para dudas o ajustes puntuales.</t>
        </is>
      </c>
    </row>
  </sheetData>
  <autoFilter ref="A1:A8"/>
</worksheet>
</file>